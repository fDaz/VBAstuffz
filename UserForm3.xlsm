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5" windowWidth="27795" windowHeight="12075"/>
  </bookViews>
  <sheets>
    <sheet name="Cutover" sheetId="1" r:id="rId1"/>
    <sheet name="Munka1" sheetId="2" r:id="rId2"/>
  </sheets>
  <functionGroups builtInGroupCount="17"/>
  <calcPr calcId="145621"/>
</workbook>
</file>

<file path=xl/calcChain.xml><?xml version="1.0" encoding="utf-8"?>
<calcChain xmlns="http://schemas.openxmlformats.org/spreadsheetml/2006/main">
  <c r="B2" i="2" l="1"/>
  <c r="C2" i="2"/>
  <c r="D2" i="2"/>
  <c r="B3" i="2"/>
  <c r="C3" i="2"/>
  <c r="D3" i="2"/>
  <c r="B4" i="2"/>
  <c r="C4" i="2"/>
  <c r="D4" i="2"/>
  <c r="B5" i="2"/>
  <c r="C5" i="2"/>
  <c r="D5" i="2"/>
  <c r="B6" i="2"/>
  <c r="C6" i="2"/>
  <c r="D6" i="2"/>
  <c r="B7" i="2"/>
  <c r="C7" i="2"/>
  <c r="D7" i="2"/>
  <c r="B8" i="2"/>
  <c r="C8" i="2"/>
  <c r="D8" i="2"/>
  <c r="B9" i="2"/>
  <c r="C9" i="2"/>
  <c r="D9" i="2"/>
  <c r="B10" i="2"/>
  <c r="C10" i="2"/>
  <c r="D10" i="2"/>
  <c r="B11" i="2"/>
  <c r="C11" i="2"/>
  <c r="D11" i="2"/>
  <c r="B12" i="2"/>
  <c r="C12" i="2"/>
  <c r="D12" i="2"/>
  <c r="B13" i="2"/>
  <c r="C13" i="2"/>
  <c r="D13" i="2"/>
  <c r="B14" i="2"/>
  <c r="C14" i="2"/>
  <c r="D14" i="2"/>
  <c r="B15" i="2"/>
  <c r="C15" i="2"/>
  <c r="D15" i="2"/>
  <c r="B16" i="2"/>
  <c r="C16" i="2"/>
  <c r="D16" i="2"/>
  <c r="B17" i="2"/>
  <c r="C17" i="2"/>
  <c r="D17" i="2"/>
  <c r="B18" i="2"/>
  <c r="C18" i="2"/>
  <c r="D18" i="2"/>
  <c r="B19" i="2"/>
  <c r="C19" i="2"/>
  <c r="D19" i="2"/>
  <c r="B20" i="2"/>
  <c r="C20" i="2"/>
  <c r="D20" i="2"/>
  <c r="B21" i="2"/>
  <c r="C21" i="2"/>
  <c r="D21" i="2"/>
  <c r="B22" i="2"/>
  <c r="C22" i="2"/>
  <c r="D22" i="2"/>
  <c r="B23" i="2"/>
  <c r="C23" i="2"/>
  <c r="D23" i="2"/>
  <c r="B24" i="2"/>
  <c r="C24" i="2"/>
  <c r="D24" i="2"/>
  <c r="B25" i="2"/>
  <c r="C25" i="2"/>
  <c r="D25" i="2"/>
  <c r="B26" i="2"/>
  <c r="C26" i="2"/>
  <c r="D26" i="2"/>
  <c r="B27" i="2"/>
  <c r="C27" i="2"/>
  <c r="D27" i="2"/>
  <c r="B28" i="2"/>
  <c r="C28" i="2"/>
  <c r="D28" i="2"/>
  <c r="B29" i="2"/>
  <c r="C29" i="2"/>
  <c r="D29" i="2"/>
  <c r="B30" i="2"/>
  <c r="C30" i="2"/>
  <c r="D30" i="2"/>
  <c r="B31" i="2"/>
  <c r="C31" i="2"/>
  <c r="D31" i="2"/>
  <c r="B32" i="2"/>
  <c r="C32" i="2"/>
  <c r="D32" i="2"/>
  <c r="B33" i="2"/>
  <c r="C33" i="2"/>
  <c r="D33" i="2"/>
  <c r="B34" i="2"/>
  <c r="C34" i="2"/>
  <c r="D34" i="2"/>
  <c r="B35" i="2"/>
  <c r="C35" i="2"/>
  <c r="D35" i="2"/>
  <c r="B36" i="2"/>
  <c r="C36" i="2"/>
  <c r="D36" i="2"/>
  <c r="B37" i="2"/>
  <c r="C37" i="2"/>
  <c r="D37" i="2"/>
  <c r="B38" i="2"/>
  <c r="C38" i="2"/>
  <c r="D38" i="2"/>
  <c r="B39" i="2"/>
  <c r="C39" i="2"/>
  <c r="D39" i="2"/>
  <c r="B40" i="2"/>
  <c r="C40" i="2"/>
  <c r="D40" i="2"/>
  <c r="B41" i="2"/>
  <c r="C41" i="2"/>
  <c r="D41" i="2"/>
  <c r="B42" i="2"/>
  <c r="C42" i="2"/>
  <c r="D42" i="2"/>
  <c r="B43" i="2"/>
  <c r="C43" i="2"/>
  <c r="D43" i="2"/>
  <c r="B44" i="2"/>
  <c r="C44" i="2"/>
  <c r="D44" i="2"/>
  <c r="B45" i="2"/>
  <c r="C45" i="2"/>
  <c r="D45" i="2"/>
  <c r="B46" i="2"/>
  <c r="C46" i="2"/>
  <c r="D46" i="2"/>
  <c r="B47" i="2"/>
  <c r="C47" i="2"/>
  <c r="D47" i="2"/>
  <c r="B48" i="2"/>
  <c r="C48" i="2"/>
  <c r="D48" i="2"/>
  <c r="B49" i="2"/>
  <c r="C49" i="2"/>
  <c r="D49" i="2"/>
  <c r="B50" i="2"/>
  <c r="C50" i="2"/>
  <c r="D50" i="2"/>
  <c r="B51" i="2"/>
  <c r="C51" i="2"/>
  <c r="D51" i="2"/>
  <c r="B52" i="2"/>
  <c r="C52" i="2"/>
  <c r="D52" i="2"/>
  <c r="B53" i="2"/>
  <c r="C53" i="2"/>
  <c r="D53" i="2"/>
  <c r="B54" i="2"/>
  <c r="C54" i="2"/>
  <c r="D54" i="2"/>
  <c r="B55" i="2"/>
  <c r="C55" i="2"/>
  <c r="D55" i="2"/>
  <c r="B56" i="2"/>
  <c r="C56" i="2"/>
  <c r="D56" i="2"/>
  <c r="B57" i="2"/>
  <c r="C57" i="2"/>
  <c r="D57" i="2"/>
  <c r="B58" i="2"/>
  <c r="C58" i="2"/>
  <c r="D58" i="2"/>
  <c r="B59" i="2"/>
  <c r="C59" i="2"/>
  <c r="D59" i="2"/>
  <c r="B60" i="2"/>
  <c r="C60" i="2"/>
  <c r="D60" i="2"/>
  <c r="B61" i="2"/>
  <c r="C61" i="2"/>
  <c r="D61" i="2"/>
  <c r="B62" i="2"/>
  <c r="C62" i="2"/>
  <c r="D62" i="2"/>
  <c r="B63" i="2"/>
  <c r="C63" i="2"/>
  <c r="D63" i="2"/>
  <c r="B64" i="2"/>
  <c r="C64" i="2"/>
  <c r="D64" i="2"/>
  <c r="B65" i="2"/>
  <c r="C65" i="2"/>
  <c r="D65" i="2"/>
  <c r="B66" i="2"/>
  <c r="C66" i="2"/>
  <c r="D66" i="2"/>
  <c r="B67" i="2"/>
  <c r="C67" i="2"/>
  <c r="D67" i="2"/>
  <c r="B68" i="2"/>
  <c r="C68" i="2"/>
  <c r="D68" i="2"/>
  <c r="B69" i="2"/>
  <c r="C69" i="2"/>
  <c r="D69" i="2"/>
  <c r="B70" i="2"/>
  <c r="C70" i="2"/>
  <c r="D70" i="2"/>
  <c r="B71" i="2"/>
  <c r="C71" i="2"/>
  <c r="D71" i="2"/>
  <c r="B72" i="2"/>
  <c r="C72" i="2"/>
  <c r="D72" i="2"/>
  <c r="B73" i="2"/>
  <c r="C73" i="2"/>
  <c r="D73" i="2"/>
  <c r="B76" i="2" l="1"/>
  <c r="D89" i="2"/>
  <c r="D107" i="2"/>
  <c r="C75" i="2" l="1"/>
  <c r="C146" i="2"/>
  <c r="B124" i="2"/>
  <c r="C122" i="2"/>
  <c r="D136" i="2"/>
  <c r="D74" i="2"/>
  <c r="B145" i="2"/>
  <c r="D134" i="2"/>
  <c r="B106" i="2"/>
  <c r="B142" i="2"/>
  <c r="C129" i="2"/>
  <c r="B117" i="2"/>
  <c r="C92" i="2"/>
  <c r="B141" i="2"/>
  <c r="B129" i="2"/>
  <c r="B113" i="2"/>
  <c r="C84" i="2"/>
  <c r="D144" i="2"/>
  <c r="C139" i="2"/>
  <c r="B133" i="2"/>
  <c r="D127" i="2"/>
  <c r="B120" i="2"/>
  <c r="B112" i="2"/>
  <c r="B103" i="2"/>
  <c r="D78" i="2"/>
  <c r="C142" i="2"/>
  <c r="C138" i="2"/>
  <c r="D132" i="2"/>
  <c r="C125" i="2"/>
  <c r="C117" i="2"/>
  <c r="C110" i="2"/>
  <c r="D99" i="2"/>
  <c r="C76" i="2"/>
  <c r="D143" i="2"/>
  <c r="D139" i="2"/>
  <c r="B136" i="2"/>
  <c r="C131" i="2"/>
  <c r="B126" i="2"/>
  <c r="B122" i="2"/>
  <c r="C115" i="2"/>
  <c r="B108" i="2"/>
  <c r="C102" i="2"/>
  <c r="C74" i="2"/>
  <c r="B146" i="2"/>
  <c r="C143" i="2"/>
  <c r="D140" i="2"/>
  <c r="B138" i="2"/>
  <c r="C134" i="2"/>
  <c r="D130" i="2"/>
  <c r="C127" i="2"/>
  <c r="D123" i="2"/>
  <c r="C119" i="2"/>
  <c r="D114" i="2"/>
  <c r="B110" i="2"/>
  <c r="B105" i="2"/>
  <c r="D97" i="2"/>
  <c r="B84" i="2"/>
  <c r="D145" i="2"/>
  <c r="C144" i="2"/>
  <c r="B143" i="2"/>
  <c r="D141" i="2"/>
  <c r="C140" i="2"/>
  <c r="B139" i="2"/>
  <c r="C137" i="2"/>
  <c r="D135" i="2"/>
  <c r="B134" i="2"/>
  <c r="B132" i="2"/>
  <c r="C130" i="2"/>
  <c r="D128" i="2"/>
  <c r="D126" i="2"/>
  <c r="B125" i="2"/>
  <c r="C123" i="2"/>
  <c r="B121" i="2"/>
  <c r="D118" i="2"/>
  <c r="D116" i="2"/>
  <c r="B114" i="2"/>
  <c r="D111" i="2"/>
  <c r="C109" i="2"/>
  <c r="D106" i="2"/>
  <c r="D104" i="2"/>
  <c r="D101" i="2"/>
  <c r="B95" i="2"/>
  <c r="C89" i="2"/>
  <c r="D81" i="2"/>
  <c r="B74" i="2"/>
  <c r="D146" i="2"/>
  <c r="C145" i="2"/>
  <c r="B144" i="2"/>
  <c r="D142" i="2"/>
  <c r="C141" i="2"/>
  <c r="B140" i="2"/>
  <c r="D138" i="2"/>
  <c r="B137" i="2"/>
  <c r="C135" i="2"/>
  <c r="C133" i="2"/>
  <c r="D131" i="2"/>
  <c r="B130" i="2"/>
  <c r="B128" i="2"/>
  <c r="C126" i="2"/>
  <c r="D124" i="2"/>
  <c r="D122" i="2"/>
  <c r="D120" i="2"/>
  <c r="C118" i="2"/>
  <c r="D115" i="2"/>
  <c r="C113" i="2"/>
  <c r="C111" i="2"/>
  <c r="D108" i="2"/>
  <c r="C106" i="2"/>
  <c r="B104" i="2"/>
  <c r="B100" i="2"/>
  <c r="D94" i="2"/>
  <c r="B87" i="2"/>
  <c r="B79" i="2"/>
  <c r="D137" i="2"/>
  <c r="C136" i="2"/>
  <c r="B135" i="2"/>
  <c r="D133" i="2"/>
  <c r="C132" i="2"/>
  <c r="B131" i="2"/>
  <c r="D129" i="2"/>
  <c r="C128" i="2"/>
  <c r="B127" i="2"/>
  <c r="D125" i="2"/>
  <c r="C124" i="2"/>
  <c r="B123" i="2"/>
  <c r="C121" i="2"/>
  <c r="D119" i="2"/>
  <c r="B118" i="2"/>
  <c r="B116" i="2"/>
  <c r="C114" i="2"/>
  <c r="D112" i="2"/>
  <c r="D110" i="2"/>
  <c r="B109" i="2"/>
  <c r="C107" i="2"/>
  <c r="C105" i="2"/>
  <c r="D103" i="2"/>
  <c r="C101" i="2"/>
  <c r="C97" i="2"/>
  <c r="B92" i="2"/>
  <c r="D86" i="2"/>
  <c r="C81" i="2"/>
  <c r="D121" i="2"/>
  <c r="C120" i="2"/>
  <c r="B119" i="2"/>
  <c r="D117" i="2"/>
  <c r="C116" i="2"/>
  <c r="B115" i="2"/>
  <c r="D113" i="2"/>
  <c r="C112" i="2"/>
  <c r="B111" i="2"/>
  <c r="D109" i="2"/>
  <c r="C108" i="2"/>
  <c r="B107" i="2"/>
  <c r="D105" i="2"/>
  <c r="C104" i="2"/>
  <c r="D102" i="2"/>
  <c r="B101" i="2"/>
  <c r="B99" i="2"/>
  <c r="C96" i="2"/>
  <c r="D93" i="2"/>
  <c r="B91" i="2"/>
  <c r="C88" i="2"/>
  <c r="D85" i="2"/>
  <c r="B83" i="2"/>
  <c r="C80" i="2"/>
  <c r="D77" i="2"/>
  <c r="B75" i="2"/>
  <c r="C100" i="2"/>
  <c r="D98" i="2"/>
  <c r="B96" i="2"/>
  <c r="C93" i="2"/>
  <c r="D90" i="2"/>
  <c r="B88" i="2"/>
  <c r="C85" i="2"/>
  <c r="D82" i="2"/>
  <c r="B80" i="2"/>
  <c r="C77" i="2"/>
  <c r="C98" i="2"/>
  <c r="B97" i="2"/>
  <c r="D95" i="2"/>
  <c r="C94" i="2"/>
  <c r="B93" i="2"/>
  <c r="D91" i="2"/>
  <c r="C90" i="2"/>
  <c r="B89" i="2"/>
  <c r="D87" i="2"/>
  <c r="C86" i="2"/>
  <c r="B85" i="2"/>
  <c r="D83" i="2"/>
  <c r="C82" i="2"/>
  <c r="B81" i="2"/>
  <c r="D79" i="2"/>
  <c r="C78" i="2"/>
  <c r="B77" i="2"/>
  <c r="D75" i="2"/>
  <c r="C103" i="2"/>
  <c r="B102" i="2"/>
  <c r="D100" i="2"/>
  <c r="C99" i="2"/>
  <c r="B98" i="2"/>
  <c r="D96" i="2"/>
  <c r="C95" i="2"/>
  <c r="B94" i="2"/>
  <c r="D92" i="2"/>
  <c r="C91" i="2"/>
  <c r="B90" i="2"/>
  <c r="D88" i="2"/>
  <c r="C87" i="2"/>
  <c r="B86" i="2"/>
  <c r="D84" i="2"/>
  <c r="C83" i="2"/>
  <c r="B82" i="2"/>
  <c r="D80" i="2"/>
  <c r="C79" i="2"/>
  <c r="B78" i="2"/>
  <c r="D76" i="2"/>
</calcChain>
</file>

<file path=xl/sharedStrings.xml><?xml version="1.0" encoding="utf-8"?>
<sst xmlns="http://schemas.openxmlformats.org/spreadsheetml/2006/main" count="24" uniqueCount="24">
  <si>
    <t>Option</t>
  </si>
  <si>
    <t>2A</t>
  </si>
  <si>
    <t>2B</t>
  </si>
  <si>
    <t>2C</t>
  </si>
  <si>
    <t>3A</t>
  </si>
  <si>
    <t>3B</t>
  </si>
  <si>
    <t>Description</t>
  </si>
  <si>
    <t>During the cutover period, the sender organisation (NCA/MAH) stops the submission of ICSRs. 
These reports are to be submitted electronically by the NCA/the MAH to EVPM as part of the cutover legacy /post-go-live period in accordance with the simplified reporting rules as set out in the Guideline on good pharmacovigilance practices (GVP) Module VI – Management and reporting of adverse reactions to medicinal products (Revision 2) as of 22 November 2017 (see chapter 6.1).
These reports will be made available to NCAs/MAHs and WHO-UMC as part of the cutover legacy/post-go-live period in accordance with the simplified reporting rules (see chapter 6.1).</t>
  </si>
  <si>
    <t>2A &amp; 2B &amp; 2C</t>
  </si>
  <si>
    <r>
      <t xml:space="preserve">These reports are to be submitted electronically by the NCA/the MAH to EVPM as part of the cutover legacy /post-go-live period in accordance with the simplified reporting rules as set out in the Guideline on good pharmacovigilance practices (GVP) Module VI – Management and reporting of adverse reactions to medicinal products (Revision 2) as of 22 November 2017 (see chapter 6.1).
</t>
    </r>
    <r>
      <rPr>
        <b/>
        <sz val="9"/>
        <rFont val="Arial"/>
        <family val="2"/>
        <charset val="238"/>
      </rPr>
      <t>In addition, the MAH has to follow alternative arrangements for the adverse reaction reporting to the NCA during the cutover period based on one of the following principles:</t>
    </r>
  </si>
  <si>
    <r>
      <t>The MAH generates with their local system valid safety message(s) an XML and CIOMS I format and submits the cases via e-mail to the NCA. The MAH writes “</t>
    </r>
    <r>
      <rPr>
        <b/>
        <sz val="9"/>
        <rFont val="Arial"/>
        <family val="2"/>
        <charset val="238"/>
      </rPr>
      <t>ADR reporting - Failure of safety message generation at receiver’s side</t>
    </r>
    <r>
      <rPr>
        <sz val="9"/>
        <rFont val="Arial"/>
      </rPr>
      <t>” on the paper report(s)/ CIOMS forms (pdf) and states in the email/cover letter subject: “</t>
    </r>
    <r>
      <rPr>
        <b/>
        <sz val="9"/>
        <rFont val="Arial"/>
        <family val="2"/>
        <charset val="238"/>
      </rPr>
      <t>ADR reporting cutover period</t>
    </r>
    <r>
      <rPr>
        <sz val="9"/>
        <rFont val="Arial"/>
      </rPr>
      <t>”.</t>
    </r>
  </si>
  <si>
    <r>
      <t>The MAH sends case report(s) in an internationally acknowledged format (CIOMS I) to a dedicated fax line (in paper format), to a dedicated e-mail (in pdf format) or via post (in paper format) to the NCA and writes “</t>
    </r>
    <r>
      <rPr>
        <b/>
        <sz val="9"/>
        <rFont val="Arial"/>
        <family val="2"/>
        <charset val="238"/>
      </rPr>
      <t>ADR reporting - Failure of safety message generation at receiver’s side</t>
    </r>
    <r>
      <rPr>
        <sz val="9"/>
        <rFont val="Arial"/>
      </rPr>
      <t>” on the paper report(s)/email/letter.</t>
    </r>
  </si>
  <si>
    <t>The MAH follows dedicated national reporting arrangements.</t>
  </si>
  <si>
    <t>Reports that cannot be submitted electronically during the cutover period of 8 (0:00) to 21 (24:00) period by the sender organisation (MAH) to the receiver organisation (NCA/EVPM), have to be submitted electronically to EVPM by the sender organisation (MAH) as part of the cutover legacy /post-go-live period in accordance with the simplified reporting rules as set out in the Guideline on good pharmacovigilance practices (GVP) Module VI – Management and reporting of adverse reactions to medicinal products (Revision 2) as of 22 November 2017 (see chapter 6.1);</t>
  </si>
  <si>
    <t>The MAH follows dedicated national reporting arrangements in accordance with as set out in the Guideline on good pharmacovigilance practices (GVP) Module VI – Management and reporting of adverse reactions to medicinal products (Revision 1), chapter VI.C.4.1. Interim arrangements apply (see also Appendix 3 Modalities for reporting).</t>
  </si>
  <si>
    <t>S/NS</t>
  </si>
  <si>
    <t>Regarding legacy reporting</t>
  </si>
  <si>
    <t>S</t>
  </si>
  <si>
    <r>
      <rPr>
        <b/>
        <sz val="9"/>
        <rFont val="Arial"/>
        <family val="2"/>
        <charset val="238"/>
      </rPr>
      <t>MAHs need to submit electronically to EVPM</t>
    </r>
    <r>
      <rPr>
        <sz val="9"/>
        <rFont val="Arial"/>
      </rPr>
      <t xml:space="preserve"> information on</t>
    </r>
    <r>
      <rPr>
        <b/>
        <sz val="9"/>
        <rFont val="Arial"/>
        <family val="2"/>
        <charset val="238"/>
      </rPr>
      <t xml:space="preserve"> all serious suspected adverse reactions that occurred in the EEA and in third countries.</t>
    </r>
    <r>
      <rPr>
        <sz val="9"/>
        <rFont val="Arial"/>
      </rPr>
      <t xml:space="preserve"> This refers to reports of which the MAH gained knowledge before the 22 November 2017 and which </t>
    </r>
    <r>
      <rPr>
        <b/>
        <sz val="9"/>
        <rFont val="Arial"/>
        <family val="2"/>
        <charset val="238"/>
      </rPr>
      <t xml:space="preserve">could not be submitted electronically before or during the cutover period. </t>
    </r>
    <r>
      <rPr>
        <sz val="9"/>
        <rFont val="Arial"/>
      </rPr>
      <t xml:space="preserve">The submission of ICSRs requiring reporting from 8 to 21 November (according to 15 days reporting timelines) should take place </t>
    </r>
    <r>
      <rPr>
        <b/>
        <sz val="9"/>
        <rFont val="Arial"/>
        <family val="2"/>
        <charset val="238"/>
      </rPr>
      <t>within 2 EMA business days following the go-live of EudraVigilance.</t>
    </r>
    <r>
      <rPr>
        <sz val="9"/>
        <rFont val="Arial"/>
      </rPr>
      <t xml:space="preserve"> EudraVigilance will reroute the reports to the applicable NCAs based on the rerouting rules defined by the NCAs. The reporting follows the simplified reporting rules as set out in GVP Module VI (revision 2).</t>
    </r>
  </si>
  <si>
    <t>NS</t>
  </si>
  <si>
    <r>
      <rPr>
        <b/>
        <sz val="9"/>
        <rFont val="Arial"/>
        <family val="2"/>
        <charset val="238"/>
      </rPr>
      <t xml:space="preserve">MAHs need to submit electronically to EVPM information on all non-serious suspected adverse reactions that were reportable to NCAs in the EEA. </t>
    </r>
    <r>
      <rPr>
        <sz val="9"/>
        <rFont val="Arial"/>
      </rPr>
      <t xml:space="preserve">This refers to reports of which the MAH gained knowledge before the 22 November 2017 and which </t>
    </r>
    <r>
      <rPr>
        <b/>
        <sz val="9"/>
        <rFont val="Arial"/>
        <family val="2"/>
        <charset val="238"/>
      </rPr>
      <t xml:space="preserve">could not be submitted electronically the NCA before or during the cutover period </t>
    </r>
    <r>
      <rPr>
        <sz val="9"/>
        <rFont val="Arial"/>
      </rPr>
      <t>in accordance with table 3 of the document “</t>
    </r>
    <r>
      <rPr>
        <b/>
        <sz val="9"/>
        <rFont val="Arial"/>
        <family val="2"/>
        <charset val="238"/>
      </rPr>
      <t>Reporting requirements of Individual Case Safety Reports (ICSRs) applicable to marketing authorisation holders during the interim period</t>
    </r>
    <r>
      <rPr>
        <sz val="9"/>
        <rFont val="Arial"/>
      </rPr>
      <t>” (EMA/411742/2015 Rev. 9). The submission of non-serious ICSRs requiring reporting according to table 3 between 8 to 21 November should take place</t>
    </r>
    <r>
      <rPr>
        <b/>
        <sz val="9"/>
        <rFont val="Arial"/>
        <family val="2"/>
        <charset val="238"/>
      </rPr>
      <t xml:space="preserve"> within 2 EMA business days following the go-live of EudraVigilance</t>
    </r>
    <r>
      <rPr>
        <sz val="9"/>
        <rFont val="Arial"/>
      </rPr>
      <t>. EudraVigilance will reroute the reports to the applicable NCAs if they choose to receive them. The reporting follows the simplified reporting rules as set out in GVP Module VI (revision 2).</t>
    </r>
  </si>
  <si>
    <t>NS (previously non-reportable)</t>
  </si>
  <si>
    <t>If the MAH gained knowledge of a suspected adverse drug reaction before 22 November, reporting requirements are defined in GVP VI, Rev 1 (Interim arrangements). This means that non-serious adverse drug reactions originating from Hungary are not reportable to EVPM. Nevertheless, simplified reporting [i.e. transmitting reports only to EVPM (EVHUMAN)] is effective from 22 November 2017 for all ICSRs, regardless of the date when the MAH became aware of the suspected adverse reaction or whether the ICSR is a backlog (already transmitted in XML/CIOMS I format during the downtime) or a new one.</t>
  </si>
  <si>
    <t>x</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</si>
</sst>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
  </numFmts>
  <fonts count="10" x14ac:knownFonts="1">
    <font>
      <sz val="11"/>
      <color theme="1"/>
      <name val="Calibri"/>
      <family val="2"/>
      <charset val="238"/>
      <scheme val="minor"/>
    </font>
    <font>
      <sz val="10"/>
      <name val="Arial"/>
    </font>
    <font>
      <b/>
      <sz val="9"/>
      <color theme="0"/>
      <name val="Arial"/>
      <family val="2"/>
      <charset val="238"/>
    </font>
    <font>
      <sz val="9"/>
      <name val="Arial"/>
    </font>
    <font>
      <sz val="9"/>
      <name val="Arial"/>
      <family val="2"/>
      <charset val="238"/>
    </font>
    <font>
      <b/>
      <sz val="9"/>
      <name val="Arial"/>
      <family val="2"/>
      <charset val="238"/>
    </font>
    <font>
      <b/>
      <sz val="11"/>
      <color rgb="FFFF0000"/>
      <name val="Calibri"/>
      <family val="2"/>
      <charset val="238"/>
      <scheme val="minor"/>
    </font>
    <font>
      <b/>
      <sz val="11"/>
      <color rgb="FF00B050"/>
      <name val="Calibri"/>
      <family val="2"/>
      <charset val="238"/>
      <scheme val="minor"/>
    </font>
    <font>
      <b/>
      <sz val="11"/>
      <color theme="4"/>
      <name val="Calibri"/>
      <family val="2"/>
      <charset val="238"/>
      <scheme val="minor"/>
    </font>
    <font>
      <b/>
      <sz val="11"/>
      <color theme="1"/>
      <name val="Calibri"/>
      <family val="2"/>
      <charset val="238"/>
      <scheme val="minor"/>
    </font>
  </fonts>
  <fills count="6">
    <fill>
      <patternFill patternType="none"/>
    </fill>
    <fill>
      <patternFill patternType="gray125"/>
    </fill>
    <fill>
      <patternFill patternType="solid">
        <fgColor theme="2" tint="-0.74999237037263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ont="0" applyFill="0" applyBorder="0" applyAlignment="0" applyProtection="0">
      <alignment vertical="top"/>
    </xf>
  </cellStyleXfs>
  <cellXfs count="17">
    <xf numFmtId="0" fontId="0" fillId="0" borderId="0" xfId="0"/>
    <xf numFmtId="0" fontId="2" fillId="2" borderId="1" xfId="1" applyNumberFormat="1" applyFont="1" applyFill="1" applyBorder="1" applyAlignment="1" applyProtection="1">
      <alignment horizontal="center" vertical="center" wrapText="1"/>
    </xf>
    <xf numFmtId="0" fontId="3" fillId="3" borderId="1" xfId="1" applyNumberFormat="1" applyFont="1" applyFill="1" applyBorder="1" applyAlignment="1" applyProtection="1">
      <alignment vertical="center" wrapText="1"/>
    </xf>
    <xf numFmtId="0" fontId="4" fillId="3" borderId="1" xfId="1" applyNumberFormat="1" applyFont="1" applyFill="1" applyBorder="1" applyAlignment="1" applyProtection="1">
      <alignment vertical="center" wrapText="1"/>
    </xf>
    <xf numFmtId="0" fontId="3" fillId="4" borderId="1" xfId="1" applyNumberFormat="1" applyFont="1" applyFill="1" applyBorder="1" applyAlignment="1" applyProtection="1">
      <alignment vertical="center" wrapText="1"/>
    </xf>
    <xf numFmtId="0" fontId="4" fillId="4" borderId="1" xfId="1" applyNumberFormat="1" applyFont="1" applyFill="1" applyBorder="1" applyAlignment="1" applyProtection="1">
      <alignment vertical="center" wrapText="1"/>
    </xf>
    <xf numFmtId="0" fontId="3" fillId="3" borderId="1" xfId="1" applyNumberFormat="1" applyFont="1" applyFill="1" applyBorder="1" applyAlignment="1" applyProtection="1">
      <alignment horizontal="center" vertical="center" wrapText="1"/>
    </xf>
    <xf numFmtId="0" fontId="3" fillId="5" borderId="1" xfId="1" applyNumberFormat="1" applyFont="1" applyFill="1" applyBorder="1" applyAlignment="1" applyProtection="1">
      <alignment horizontal="center" vertical="center" wrapText="1"/>
    </xf>
    <xf numFmtId="0" fontId="4" fillId="5" borderId="1" xfId="1" applyNumberFormat="1" applyFont="1" applyFill="1" applyBorder="1" applyAlignment="1" applyProtection="1">
      <alignment vertical="center" wrapText="1"/>
    </xf>
    <xf numFmtId="0" fontId="3" fillId="4" borderId="1" xfId="1" applyNumberFormat="1" applyFont="1" applyFill="1" applyBorder="1" applyAlignment="1" applyProtection="1">
      <alignment horizontal="center" vertical="center" wrapText="1"/>
    </xf>
    <xf numFmtId="0" fontId="0" fillId="0" borderId="0" xfId="0" applyAlignment="1">
      <alignment horizontal="center" vertical="center"/>
    </xf>
    <xf numFmtId="0" fontId="0" fillId="0" borderId="0" xfId="0" applyAlignment="1">
      <alignment vertical="center" wrapText="1"/>
    </xf>
    <xf numFmtId="0" fontId="4" fillId="5" borderId="1" xfId="1" applyNumberFormat="1" applyFont="1" applyFill="1" applyBorder="1" applyAlignment="1" applyProtection="1">
      <alignment horizontal="center" vertical="center" wrapText="1"/>
    </xf>
    <xf numFmtId="0" fontId="6" fillId="0" borderId="0" xfId="0" applyFont="1"/>
    <xf numFmtId="0" fontId="7" fillId="0" borderId="0" xfId="0" applyFont="1"/>
    <xf numFmtId="0" fontId="8" fillId="0" borderId="0" xfId="0" applyFont="1"/>
    <xf numFmtId="164" fontId="9" fillId="0" borderId="0" xfId="0" applyNumberFormat="1" applyFont="1"/>
  </cellXfs>
  <cellStyles count="2">
    <cellStyle name="Normál" xfId="0" builtinId="0"/>
    <cellStyle name="Normál 2" xfId="1"/>
  </cellStyles>
  <dxfs count="1">
    <dxf>
      <font>
        <color rgb="FFFFC000"/>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1769679845428E-2"/>
          <c:y val="0.15844951584441774"/>
          <c:w val="0.84177674360625765"/>
          <c:h val="0.77864614380829511"/>
        </c:manualLayout>
      </c:layout>
      <c:scatterChart>
        <c:scatterStyle val="smoothMarker"/>
        <c:varyColors val="0"/>
        <c:ser>
          <c:idx val="0"/>
          <c:order val="0"/>
          <c:tx>
            <c:strRef>
              <c:f>Munka1!$B$1</c:f>
              <c:strCache>
                <c:ptCount val="1"/>
                <c:pt idx="0">
                  <c:v>0</c:v>
                </c:pt>
              </c:strCache>
            </c:strRef>
          </c:tx>
          <c:spPr>
            <a:ln>
              <a:solidFill>
                <a:schemeClr val="accent2"/>
              </a:solidFill>
            </a:ln>
          </c:spPr>
          <c:marker>
            <c:symbol val="none"/>
          </c:marker>
          <c:xVal>
            <c:numRef>
              <c:f>Munka1!$A$2:$A$146</c:f>
              <c:numCache>
                <c:formatCode>General</c:formatCode>
                <c:ptCount val="145"/>
                <c:pt idx="0">
                  <c:v>-720</c:v>
                </c:pt>
                <c:pt idx="1">
                  <c:v>-710</c:v>
                </c:pt>
                <c:pt idx="2">
                  <c:v>-700</c:v>
                </c:pt>
                <c:pt idx="3">
                  <c:v>-690</c:v>
                </c:pt>
                <c:pt idx="4">
                  <c:v>-680</c:v>
                </c:pt>
                <c:pt idx="5">
                  <c:v>-670</c:v>
                </c:pt>
                <c:pt idx="6">
                  <c:v>-660</c:v>
                </c:pt>
                <c:pt idx="7">
                  <c:v>-650</c:v>
                </c:pt>
                <c:pt idx="8">
                  <c:v>-640</c:v>
                </c:pt>
                <c:pt idx="9">
                  <c:v>-630</c:v>
                </c:pt>
                <c:pt idx="10">
                  <c:v>-620</c:v>
                </c:pt>
                <c:pt idx="11">
                  <c:v>-610</c:v>
                </c:pt>
                <c:pt idx="12">
                  <c:v>-600</c:v>
                </c:pt>
                <c:pt idx="13">
                  <c:v>-590</c:v>
                </c:pt>
                <c:pt idx="14">
                  <c:v>-580</c:v>
                </c:pt>
                <c:pt idx="15">
                  <c:v>-570</c:v>
                </c:pt>
                <c:pt idx="16">
                  <c:v>-560</c:v>
                </c:pt>
                <c:pt idx="17">
                  <c:v>-550</c:v>
                </c:pt>
                <c:pt idx="18">
                  <c:v>-540</c:v>
                </c:pt>
                <c:pt idx="19">
                  <c:v>-530</c:v>
                </c:pt>
                <c:pt idx="20">
                  <c:v>-520</c:v>
                </c:pt>
                <c:pt idx="21">
                  <c:v>-510</c:v>
                </c:pt>
                <c:pt idx="22">
                  <c:v>-500</c:v>
                </c:pt>
                <c:pt idx="23">
                  <c:v>-490</c:v>
                </c:pt>
                <c:pt idx="24">
                  <c:v>-480</c:v>
                </c:pt>
                <c:pt idx="25">
                  <c:v>-470</c:v>
                </c:pt>
                <c:pt idx="26">
                  <c:v>-460</c:v>
                </c:pt>
                <c:pt idx="27">
                  <c:v>-450</c:v>
                </c:pt>
                <c:pt idx="28">
                  <c:v>-440</c:v>
                </c:pt>
                <c:pt idx="29">
                  <c:v>-430</c:v>
                </c:pt>
                <c:pt idx="30">
                  <c:v>-420</c:v>
                </c:pt>
                <c:pt idx="31">
                  <c:v>-410</c:v>
                </c:pt>
                <c:pt idx="32">
                  <c:v>-400</c:v>
                </c:pt>
                <c:pt idx="33">
                  <c:v>-390</c:v>
                </c:pt>
                <c:pt idx="34">
                  <c:v>-380</c:v>
                </c:pt>
                <c:pt idx="35">
                  <c:v>-370</c:v>
                </c:pt>
                <c:pt idx="36">
                  <c:v>-360</c:v>
                </c:pt>
                <c:pt idx="37">
                  <c:v>-350</c:v>
                </c:pt>
                <c:pt idx="38">
                  <c:v>-340</c:v>
                </c:pt>
                <c:pt idx="39">
                  <c:v>-330</c:v>
                </c:pt>
                <c:pt idx="40">
                  <c:v>-320</c:v>
                </c:pt>
                <c:pt idx="41">
                  <c:v>-310</c:v>
                </c:pt>
                <c:pt idx="42">
                  <c:v>-300</c:v>
                </c:pt>
                <c:pt idx="43">
                  <c:v>-290</c:v>
                </c:pt>
                <c:pt idx="44">
                  <c:v>-280</c:v>
                </c:pt>
                <c:pt idx="45">
                  <c:v>-270</c:v>
                </c:pt>
                <c:pt idx="46">
                  <c:v>-260</c:v>
                </c:pt>
                <c:pt idx="47">
                  <c:v>-250</c:v>
                </c:pt>
                <c:pt idx="48">
                  <c:v>-240</c:v>
                </c:pt>
                <c:pt idx="49">
                  <c:v>-230</c:v>
                </c:pt>
                <c:pt idx="50">
                  <c:v>-220</c:v>
                </c:pt>
                <c:pt idx="51">
                  <c:v>-210</c:v>
                </c:pt>
                <c:pt idx="52">
                  <c:v>-200</c:v>
                </c:pt>
                <c:pt idx="53">
                  <c:v>-190</c:v>
                </c:pt>
                <c:pt idx="54">
                  <c:v>-180</c:v>
                </c:pt>
                <c:pt idx="55">
                  <c:v>-170</c:v>
                </c:pt>
                <c:pt idx="56">
                  <c:v>-160</c:v>
                </c:pt>
                <c:pt idx="57">
                  <c:v>-150</c:v>
                </c:pt>
                <c:pt idx="58">
                  <c:v>-140</c:v>
                </c:pt>
                <c:pt idx="59">
                  <c:v>-130</c:v>
                </c:pt>
                <c:pt idx="60">
                  <c:v>-120</c:v>
                </c:pt>
                <c:pt idx="61">
                  <c:v>-110</c:v>
                </c:pt>
                <c:pt idx="62">
                  <c:v>-100</c:v>
                </c:pt>
                <c:pt idx="63">
                  <c:v>-90</c:v>
                </c:pt>
                <c:pt idx="64">
                  <c:v>-80</c:v>
                </c:pt>
                <c:pt idx="65">
                  <c:v>-70</c:v>
                </c:pt>
                <c:pt idx="66">
                  <c:v>-60</c:v>
                </c:pt>
                <c:pt idx="67">
                  <c:v>-50</c:v>
                </c:pt>
                <c:pt idx="68">
                  <c:v>-40</c:v>
                </c:pt>
                <c:pt idx="69">
                  <c:v>-30</c:v>
                </c:pt>
                <c:pt idx="70">
                  <c:v>-20</c:v>
                </c:pt>
                <c:pt idx="71">
                  <c:v>-10</c:v>
                </c:pt>
                <c:pt idx="72">
                  <c:v>0</c:v>
                </c:pt>
                <c:pt idx="73">
                  <c:v>10</c:v>
                </c:pt>
                <c:pt idx="74">
                  <c:v>20</c:v>
                </c:pt>
                <c:pt idx="75">
                  <c:v>30</c:v>
                </c:pt>
                <c:pt idx="76">
                  <c:v>40</c:v>
                </c:pt>
                <c:pt idx="77">
                  <c:v>50</c:v>
                </c:pt>
                <c:pt idx="78">
                  <c:v>60</c:v>
                </c:pt>
                <c:pt idx="79">
                  <c:v>70</c:v>
                </c:pt>
                <c:pt idx="80">
                  <c:v>80</c:v>
                </c:pt>
                <c:pt idx="81">
                  <c:v>90</c:v>
                </c:pt>
                <c:pt idx="82">
                  <c:v>100</c:v>
                </c:pt>
                <c:pt idx="83">
                  <c:v>110</c:v>
                </c:pt>
                <c:pt idx="84">
                  <c:v>120</c:v>
                </c:pt>
                <c:pt idx="85">
                  <c:v>130</c:v>
                </c:pt>
                <c:pt idx="86">
                  <c:v>140</c:v>
                </c:pt>
                <c:pt idx="87">
                  <c:v>150</c:v>
                </c:pt>
                <c:pt idx="88">
                  <c:v>160</c:v>
                </c:pt>
                <c:pt idx="89">
                  <c:v>170</c:v>
                </c:pt>
                <c:pt idx="90">
                  <c:v>180</c:v>
                </c:pt>
                <c:pt idx="91">
                  <c:v>190</c:v>
                </c:pt>
                <c:pt idx="92">
                  <c:v>200</c:v>
                </c:pt>
                <c:pt idx="93">
                  <c:v>210</c:v>
                </c:pt>
                <c:pt idx="94">
                  <c:v>220</c:v>
                </c:pt>
                <c:pt idx="95">
                  <c:v>230</c:v>
                </c:pt>
                <c:pt idx="96">
                  <c:v>240</c:v>
                </c:pt>
                <c:pt idx="97">
                  <c:v>250</c:v>
                </c:pt>
                <c:pt idx="98">
                  <c:v>260</c:v>
                </c:pt>
                <c:pt idx="99">
                  <c:v>270</c:v>
                </c:pt>
                <c:pt idx="100">
                  <c:v>280</c:v>
                </c:pt>
                <c:pt idx="101">
                  <c:v>290</c:v>
                </c:pt>
                <c:pt idx="102">
                  <c:v>300</c:v>
                </c:pt>
                <c:pt idx="103">
                  <c:v>310</c:v>
                </c:pt>
                <c:pt idx="104">
                  <c:v>320</c:v>
                </c:pt>
                <c:pt idx="105">
                  <c:v>330</c:v>
                </c:pt>
                <c:pt idx="106">
                  <c:v>340</c:v>
                </c:pt>
                <c:pt idx="107">
                  <c:v>350</c:v>
                </c:pt>
                <c:pt idx="108">
                  <c:v>360</c:v>
                </c:pt>
                <c:pt idx="109">
                  <c:v>370</c:v>
                </c:pt>
                <c:pt idx="110">
                  <c:v>380</c:v>
                </c:pt>
                <c:pt idx="111">
                  <c:v>390</c:v>
                </c:pt>
                <c:pt idx="112">
                  <c:v>400</c:v>
                </c:pt>
                <c:pt idx="113">
                  <c:v>410</c:v>
                </c:pt>
                <c:pt idx="114">
                  <c:v>420</c:v>
                </c:pt>
                <c:pt idx="115">
                  <c:v>430</c:v>
                </c:pt>
                <c:pt idx="116">
                  <c:v>440</c:v>
                </c:pt>
                <c:pt idx="117">
                  <c:v>450</c:v>
                </c:pt>
                <c:pt idx="118">
                  <c:v>460</c:v>
                </c:pt>
                <c:pt idx="119">
                  <c:v>470</c:v>
                </c:pt>
                <c:pt idx="120">
                  <c:v>480</c:v>
                </c:pt>
                <c:pt idx="121">
                  <c:v>490</c:v>
                </c:pt>
                <c:pt idx="122">
                  <c:v>500</c:v>
                </c:pt>
                <c:pt idx="123">
                  <c:v>510</c:v>
                </c:pt>
                <c:pt idx="124">
                  <c:v>520</c:v>
                </c:pt>
                <c:pt idx="125">
                  <c:v>530</c:v>
                </c:pt>
                <c:pt idx="126">
                  <c:v>540</c:v>
                </c:pt>
                <c:pt idx="127">
                  <c:v>550</c:v>
                </c:pt>
                <c:pt idx="128">
                  <c:v>560</c:v>
                </c:pt>
                <c:pt idx="129">
                  <c:v>570</c:v>
                </c:pt>
                <c:pt idx="130">
                  <c:v>580</c:v>
                </c:pt>
                <c:pt idx="131">
                  <c:v>590</c:v>
                </c:pt>
                <c:pt idx="132">
                  <c:v>600</c:v>
                </c:pt>
                <c:pt idx="133">
                  <c:v>610</c:v>
                </c:pt>
                <c:pt idx="134">
                  <c:v>620</c:v>
                </c:pt>
                <c:pt idx="135">
                  <c:v>630</c:v>
                </c:pt>
                <c:pt idx="136">
                  <c:v>640</c:v>
                </c:pt>
                <c:pt idx="137">
                  <c:v>650</c:v>
                </c:pt>
                <c:pt idx="138">
                  <c:v>660</c:v>
                </c:pt>
                <c:pt idx="139">
                  <c:v>670</c:v>
                </c:pt>
                <c:pt idx="140">
                  <c:v>680</c:v>
                </c:pt>
                <c:pt idx="141">
                  <c:v>690</c:v>
                </c:pt>
                <c:pt idx="142">
                  <c:v>700</c:v>
                </c:pt>
                <c:pt idx="143">
                  <c:v>710</c:v>
                </c:pt>
                <c:pt idx="144">
                  <c:v>720</c:v>
                </c:pt>
              </c:numCache>
            </c:numRef>
          </c:xVal>
          <c:yVal>
            <c:numRef>
              <c:f>Munka1!$B$2:$B$146</c:f>
              <c:numCache>
                <c:formatCode>General</c:formatCode>
                <c:ptCount val="145"/>
                <c:pt idx="0">
                  <c:v>0.50000000000000022</c:v>
                </c:pt>
                <c:pt idx="1">
                  <c:v>0.58682408883346526</c:v>
                </c:pt>
                <c:pt idx="2">
                  <c:v>0.67101007166283522</c:v>
                </c:pt>
                <c:pt idx="3">
                  <c:v>0.75</c:v>
                </c:pt>
                <c:pt idx="4">
                  <c:v>0.82139380484326951</c:v>
                </c:pt>
                <c:pt idx="5">
                  <c:v>0.8830222215594894</c:v>
                </c:pt>
                <c:pt idx="6">
                  <c:v>0.93301270189221963</c:v>
                </c:pt>
                <c:pt idx="7">
                  <c:v>0.96984631039295432</c:v>
                </c:pt>
                <c:pt idx="8">
                  <c:v>0.99240387650610407</c:v>
                </c:pt>
                <c:pt idx="9">
                  <c:v>1</c:v>
                </c:pt>
                <c:pt idx="10">
                  <c:v>0.99240387650610407</c:v>
                </c:pt>
                <c:pt idx="11">
                  <c:v>0.96984631039295421</c:v>
                </c:pt>
                <c:pt idx="12">
                  <c:v>0.93301270189221941</c:v>
                </c:pt>
                <c:pt idx="13">
                  <c:v>0.88302222155948917</c:v>
                </c:pt>
                <c:pt idx="14">
                  <c:v>0.82139380484326918</c:v>
                </c:pt>
                <c:pt idx="15">
                  <c:v>0.75000000000000033</c:v>
                </c:pt>
                <c:pt idx="16">
                  <c:v>0.671010071662834</c:v>
                </c:pt>
                <c:pt idx="17">
                  <c:v>0.58682408883346493</c:v>
                </c:pt>
                <c:pt idx="18">
                  <c:v>0.49999999999999983</c:v>
                </c:pt>
                <c:pt idx="19">
                  <c:v>0.41317591116653474</c:v>
                </c:pt>
                <c:pt idx="20">
                  <c:v>0.32898992833716567</c:v>
                </c:pt>
                <c:pt idx="21">
                  <c:v>0.25000000000000011</c:v>
                </c:pt>
                <c:pt idx="22">
                  <c:v>0.17860619515672982</c:v>
                </c:pt>
                <c:pt idx="23">
                  <c:v>0.1169777784405106</c:v>
                </c:pt>
                <c:pt idx="24">
                  <c:v>6.6987298107780424E-2</c:v>
                </c:pt>
                <c:pt idx="25">
                  <c:v>3.0153689607045675E-2</c:v>
                </c:pt>
                <c:pt idx="26">
                  <c:v>7.5961234938959343E-3</c:v>
                </c:pt>
                <c:pt idx="27">
                  <c:v>0</c:v>
                </c:pt>
                <c:pt idx="28">
                  <c:v>7.5961234938959898E-3</c:v>
                </c:pt>
                <c:pt idx="29">
                  <c:v>3.0153689607045953E-2</c:v>
                </c:pt>
                <c:pt idx="30">
                  <c:v>6.6987298107780591E-2</c:v>
                </c:pt>
                <c:pt idx="31">
                  <c:v>0.1169777784405111</c:v>
                </c:pt>
                <c:pt idx="32">
                  <c:v>0.17860619515673043</c:v>
                </c:pt>
                <c:pt idx="33">
                  <c:v>0.25000000000000033</c:v>
                </c:pt>
                <c:pt idx="34">
                  <c:v>0.32898992833716556</c:v>
                </c:pt>
                <c:pt idx="35">
                  <c:v>0.41317591116653507</c:v>
                </c:pt>
                <c:pt idx="36">
                  <c:v>0.50000000000000011</c:v>
                </c:pt>
                <c:pt idx="37">
                  <c:v>0.5868240888334656</c:v>
                </c:pt>
                <c:pt idx="38">
                  <c:v>0.67101007166283433</c:v>
                </c:pt>
                <c:pt idx="39">
                  <c:v>0.75000000000000022</c:v>
                </c:pt>
                <c:pt idx="40">
                  <c:v>0.82139380484326985</c:v>
                </c:pt>
                <c:pt idx="41">
                  <c:v>0.88302222155948906</c:v>
                </c:pt>
                <c:pt idx="42">
                  <c:v>0.9330127018922193</c:v>
                </c:pt>
                <c:pt idx="43">
                  <c:v>0.96984631039295421</c:v>
                </c:pt>
                <c:pt idx="44">
                  <c:v>0.99240387650610407</c:v>
                </c:pt>
                <c:pt idx="45">
                  <c:v>1</c:v>
                </c:pt>
                <c:pt idx="46">
                  <c:v>0.99240387650610407</c:v>
                </c:pt>
                <c:pt idx="47">
                  <c:v>0.9698463103929541</c:v>
                </c:pt>
                <c:pt idx="48">
                  <c:v>0.93301270189221919</c:v>
                </c:pt>
                <c:pt idx="49">
                  <c:v>0.88302222155948895</c:v>
                </c:pt>
                <c:pt idx="50">
                  <c:v>0.82139380484326963</c:v>
                </c:pt>
                <c:pt idx="51">
                  <c:v>0.75</c:v>
                </c:pt>
                <c:pt idx="52">
                  <c:v>0.67101007166283433</c:v>
                </c:pt>
                <c:pt idx="53">
                  <c:v>0.58682408883346526</c:v>
                </c:pt>
                <c:pt idx="54">
                  <c:v>0.49999999999999994</c:v>
                </c:pt>
                <c:pt idx="55">
                  <c:v>0.41317591116653485</c:v>
                </c:pt>
                <c:pt idx="56">
                  <c:v>0.32898992833716556</c:v>
                </c:pt>
                <c:pt idx="57">
                  <c:v>0.25</c:v>
                </c:pt>
                <c:pt idx="58">
                  <c:v>0.17860619515673026</c:v>
                </c:pt>
                <c:pt idx="59">
                  <c:v>0.11697777844051099</c:v>
                </c:pt>
                <c:pt idx="60">
                  <c:v>6.6987298107780646E-2</c:v>
                </c:pt>
                <c:pt idx="61">
                  <c:v>3.0153689607045786E-2</c:v>
                </c:pt>
                <c:pt idx="62">
                  <c:v>7.5961234938959898E-3</c:v>
                </c:pt>
                <c:pt idx="63">
                  <c:v>0</c:v>
                </c:pt>
                <c:pt idx="64">
                  <c:v>7.5961234938959898E-3</c:v>
                </c:pt>
                <c:pt idx="65">
                  <c:v>3.0153689607045842E-2</c:v>
                </c:pt>
                <c:pt idx="66">
                  <c:v>6.6987298107780702E-2</c:v>
                </c:pt>
                <c:pt idx="67">
                  <c:v>0.11697777844051099</c:v>
                </c:pt>
                <c:pt idx="68">
                  <c:v>0.17860619515673037</c:v>
                </c:pt>
                <c:pt idx="69">
                  <c:v>0.25</c:v>
                </c:pt>
                <c:pt idx="70">
                  <c:v>0.32898992833716567</c:v>
                </c:pt>
                <c:pt idx="71">
                  <c:v>0.41317591116653485</c:v>
                </c:pt>
                <c:pt idx="72">
                  <c:v>0.5</c:v>
                </c:pt>
                <c:pt idx="73">
                  <c:v>0.58682408883346515</c:v>
                </c:pt>
                <c:pt idx="74">
                  <c:v>0.67101007166283433</c:v>
                </c:pt>
                <c:pt idx="75">
                  <c:v>0.75</c:v>
                </c:pt>
                <c:pt idx="76">
                  <c:v>0.82139380484326963</c:v>
                </c:pt>
                <c:pt idx="77">
                  <c:v>0.88302222155948895</c:v>
                </c:pt>
                <c:pt idx="78">
                  <c:v>0.9330127018922193</c:v>
                </c:pt>
                <c:pt idx="79">
                  <c:v>0.96984631039295421</c:v>
                </c:pt>
                <c:pt idx="80">
                  <c:v>0.99240387650610407</c:v>
                </c:pt>
                <c:pt idx="81">
                  <c:v>1</c:v>
                </c:pt>
                <c:pt idx="82">
                  <c:v>0.99240387650610407</c:v>
                </c:pt>
                <c:pt idx="83">
                  <c:v>0.96984631039295421</c:v>
                </c:pt>
                <c:pt idx="84">
                  <c:v>0.93301270189221941</c:v>
                </c:pt>
                <c:pt idx="85">
                  <c:v>0.88302222155948895</c:v>
                </c:pt>
                <c:pt idx="86">
                  <c:v>0.82139380484326974</c:v>
                </c:pt>
                <c:pt idx="87">
                  <c:v>0.75</c:v>
                </c:pt>
                <c:pt idx="88">
                  <c:v>0.67101007166283444</c:v>
                </c:pt>
                <c:pt idx="89">
                  <c:v>0.58682408883346515</c:v>
                </c:pt>
                <c:pt idx="90">
                  <c:v>0.50000000000000011</c:v>
                </c:pt>
                <c:pt idx="91">
                  <c:v>0.41317591116653474</c:v>
                </c:pt>
                <c:pt idx="92">
                  <c:v>0.32898992833716567</c:v>
                </c:pt>
                <c:pt idx="93">
                  <c:v>0.24999999999999994</c:v>
                </c:pt>
                <c:pt idx="94">
                  <c:v>0.17860619515673037</c:v>
                </c:pt>
                <c:pt idx="95">
                  <c:v>0.11697777844051105</c:v>
                </c:pt>
                <c:pt idx="96">
                  <c:v>6.6987298107780813E-2</c:v>
                </c:pt>
                <c:pt idx="97">
                  <c:v>3.0153689607045897E-2</c:v>
                </c:pt>
                <c:pt idx="98">
                  <c:v>7.5961234938959898E-3</c:v>
                </c:pt>
                <c:pt idx="99">
                  <c:v>0</c:v>
                </c:pt>
                <c:pt idx="100">
                  <c:v>7.5961234938959343E-3</c:v>
                </c:pt>
                <c:pt idx="101">
                  <c:v>3.0153689607045731E-2</c:v>
                </c:pt>
                <c:pt idx="102">
                  <c:v>6.6987298107780702E-2</c:v>
                </c:pt>
                <c:pt idx="103">
                  <c:v>0.11697777844051094</c:v>
                </c:pt>
                <c:pt idx="104">
                  <c:v>0.17860619515673021</c:v>
                </c:pt>
                <c:pt idx="105">
                  <c:v>0.24999999999999978</c:v>
                </c:pt>
                <c:pt idx="106">
                  <c:v>0.32898992833716567</c:v>
                </c:pt>
                <c:pt idx="107">
                  <c:v>0.41317591116653435</c:v>
                </c:pt>
                <c:pt idx="108">
                  <c:v>0.49999999999999989</c:v>
                </c:pt>
                <c:pt idx="109">
                  <c:v>0.58682408883346493</c:v>
                </c:pt>
                <c:pt idx="110">
                  <c:v>0.67101007166283444</c:v>
                </c:pt>
                <c:pt idx="111">
                  <c:v>0.74999999999999967</c:v>
                </c:pt>
                <c:pt idx="112">
                  <c:v>0.82139380484326963</c:v>
                </c:pt>
                <c:pt idx="113">
                  <c:v>0.88302222155948895</c:v>
                </c:pt>
                <c:pt idx="114">
                  <c:v>0.93301270189221941</c:v>
                </c:pt>
                <c:pt idx="115">
                  <c:v>0.96984631039295399</c:v>
                </c:pt>
                <c:pt idx="116">
                  <c:v>0.99240387650610407</c:v>
                </c:pt>
                <c:pt idx="117">
                  <c:v>1</c:v>
                </c:pt>
                <c:pt idx="118">
                  <c:v>0.99240387650610407</c:v>
                </c:pt>
                <c:pt idx="119">
                  <c:v>0.96984631039295432</c:v>
                </c:pt>
                <c:pt idx="120">
                  <c:v>0.93301270189221963</c:v>
                </c:pt>
                <c:pt idx="121">
                  <c:v>0.8830222215594894</c:v>
                </c:pt>
                <c:pt idx="122">
                  <c:v>0.82139380484327018</c:v>
                </c:pt>
                <c:pt idx="123">
                  <c:v>0.74999999999999989</c:v>
                </c:pt>
                <c:pt idx="124">
                  <c:v>0.67101007166283433</c:v>
                </c:pt>
                <c:pt idx="125">
                  <c:v>0.58682408883346526</c:v>
                </c:pt>
                <c:pt idx="126">
                  <c:v>0.50000000000000022</c:v>
                </c:pt>
                <c:pt idx="127">
                  <c:v>0.41317591116653513</c:v>
                </c:pt>
                <c:pt idx="128">
                  <c:v>0.328989928337166</c:v>
                </c:pt>
                <c:pt idx="129">
                  <c:v>0.24999999999999967</c:v>
                </c:pt>
                <c:pt idx="130">
                  <c:v>0.17860619515673082</c:v>
                </c:pt>
                <c:pt idx="131">
                  <c:v>0.11697777844051088</c:v>
                </c:pt>
                <c:pt idx="132">
                  <c:v>6.6987298107780646E-2</c:v>
                </c:pt>
                <c:pt idx="133">
                  <c:v>3.0153689607045786E-2</c:v>
                </c:pt>
                <c:pt idx="134">
                  <c:v>7.5961234938959898E-3</c:v>
                </c:pt>
                <c:pt idx="135">
                  <c:v>0</c:v>
                </c:pt>
                <c:pt idx="136">
                  <c:v>7.5961234938959343E-3</c:v>
                </c:pt>
                <c:pt idx="137">
                  <c:v>3.0153689607045675E-2</c:v>
                </c:pt>
                <c:pt idx="138">
                  <c:v>6.6987298107780424E-2</c:v>
                </c:pt>
                <c:pt idx="139">
                  <c:v>0.1169777784405106</c:v>
                </c:pt>
                <c:pt idx="140">
                  <c:v>0.17860619515673049</c:v>
                </c:pt>
                <c:pt idx="141">
                  <c:v>0.25000000000000006</c:v>
                </c:pt>
                <c:pt idx="142">
                  <c:v>0.32898992833716478</c:v>
                </c:pt>
                <c:pt idx="143">
                  <c:v>0.41317591116653468</c:v>
                </c:pt>
                <c:pt idx="144">
                  <c:v>0.49999999999999978</c:v>
                </c:pt>
              </c:numCache>
            </c:numRef>
          </c:yVal>
          <c:smooth val="1"/>
        </c:ser>
        <c:ser>
          <c:idx val="1"/>
          <c:order val="1"/>
          <c:tx>
            <c:strRef>
              <c:f>Munka1!$C$1</c:f>
              <c:strCache>
                <c:ptCount val="1"/>
                <c:pt idx="0">
                  <c:v>120</c:v>
                </c:pt>
              </c:strCache>
            </c:strRef>
          </c:tx>
          <c:spPr>
            <a:ln>
              <a:solidFill>
                <a:srgbClr val="00B050"/>
              </a:solidFill>
            </a:ln>
          </c:spPr>
          <c:marker>
            <c:symbol val="none"/>
          </c:marker>
          <c:xVal>
            <c:numRef>
              <c:f>Munka1!$A$2:$A$146</c:f>
              <c:numCache>
                <c:formatCode>General</c:formatCode>
                <c:ptCount val="145"/>
                <c:pt idx="0">
                  <c:v>-720</c:v>
                </c:pt>
                <c:pt idx="1">
                  <c:v>-710</c:v>
                </c:pt>
                <c:pt idx="2">
                  <c:v>-700</c:v>
                </c:pt>
                <c:pt idx="3">
                  <c:v>-690</c:v>
                </c:pt>
                <c:pt idx="4">
                  <c:v>-680</c:v>
                </c:pt>
                <c:pt idx="5">
                  <c:v>-670</c:v>
                </c:pt>
                <c:pt idx="6">
                  <c:v>-660</c:v>
                </c:pt>
                <c:pt idx="7">
                  <c:v>-650</c:v>
                </c:pt>
                <c:pt idx="8">
                  <c:v>-640</c:v>
                </c:pt>
                <c:pt idx="9">
                  <c:v>-630</c:v>
                </c:pt>
                <c:pt idx="10">
                  <c:v>-620</c:v>
                </c:pt>
                <c:pt idx="11">
                  <c:v>-610</c:v>
                </c:pt>
                <c:pt idx="12">
                  <c:v>-600</c:v>
                </c:pt>
                <c:pt idx="13">
                  <c:v>-590</c:v>
                </c:pt>
                <c:pt idx="14">
                  <c:v>-580</c:v>
                </c:pt>
                <c:pt idx="15">
                  <c:v>-570</c:v>
                </c:pt>
                <c:pt idx="16">
                  <c:v>-560</c:v>
                </c:pt>
                <c:pt idx="17">
                  <c:v>-550</c:v>
                </c:pt>
                <c:pt idx="18">
                  <c:v>-540</c:v>
                </c:pt>
                <c:pt idx="19">
                  <c:v>-530</c:v>
                </c:pt>
                <c:pt idx="20">
                  <c:v>-520</c:v>
                </c:pt>
                <c:pt idx="21">
                  <c:v>-510</c:v>
                </c:pt>
                <c:pt idx="22">
                  <c:v>-500</c:v>
                </c:pt>
                <c:pt idx="23">
                  <c:v>-490</c:v>
                </c:pt>
                <c:pt idx="24">
                  <c:v>-480</c:v>
                </c:pt>
                <c:pt idx="25">
                  <c:v>-470</c:v>
                </c:pt>
                <c:pt idx="26">
                  <c:v>-460</c:v>
                </c:pt>
                <c:pt idx="27">
                  <c:v>-450</c:v>
                </c:pt>
                <c:pt idx="28">
                  <c:v>-440</c:v>
                </c:pt>
                <c:pt idx="29">
                  <c:v>-430</c:v>
                </c:pt>
                <c:pt idx="30">
                  <c:v>-420</c:v>
                </c:pt>
                <c:pt idx="31">
                  <c:v>-410</c:v>
                </c:pt>
                <c:pt idx="32">
                  <c:v>-400</c:v>
                </c:pt>
                <c:pt idx="33">
                  <c:v>-390</c:v>
                </c:pt>
                <c:pt idx="34">
                  <c:v>-380</c:v>
                </c:pt>
                <c:pt idx="35">
                  <c:v>-370</c:v>
                </c:pt>
                <c:pt idx="36">
                  <c:v>-360</c:v>
                </c:pt>
                <c:pt idx="37">
                  <c:v>-350</c:v>
                </c:pt>
                <c:pt idx="38">
                  <c:v>-340</c:v>
                </c:pt>
                <c:pt idx="39">
                  <c:v>-330</c:v>
                </c:pt>
                <c:pt idx="40">
                  <c:v>-320</c:v>
                </c:pt>
                <c:pt idx="41">
                  <c:v>-310</c:v>
                </c:pt>
                <c:pt idx="42">
                  <c:v>-300</c:v>
                </c:pt>
                <c:pt idx="43">
                  <c:v>-290</c:v>
                </c:pt>
                <c:pt idx="44">
                  <c:v>-280</c:v>
                </c:pt>
                <c:pt idx="45">
                  <c:v>-270</c:v>
                </c:pt>
                <c:pt idx="46">
                  <c:v>-260</c:v>
                </c:pt>
                <c:pt idx="47">
                  <c:v>-250</c:v>
                </c:pt>
                <c:pt idx="48">
                  <c:v>-240</c:v>
                </c:pt>
                <c:pt idx="49">
                  <c:v>-230</c:v>
                </c:pt>
                <c:pt idx="50">
                  <c:v>-220</c:v>
                </c:pt>
                <c:pt idx="51">
                  <c:v>-210</c:v>
                </c:pt>
                <c:pt idx="52">
                  <c:v>-200</c:v>
                </c:pt>
                <c:pt idx="53">
                  <c:v>-190</c:v>
                </c:pt>
                <c:pt idx="54">
                  <c:v>-180</c:v>
                </c:pt>
                <c:pt idx="55">
                  <c:v>-170</c:v>
                </c:pt>
                <c:pt idx="56">
                  <c:v>-160</c:v>
                </c:pt>
                <c:pt idx="57">
                  <c:v>-150</c:v>
                </c:pt>
                <c:pt idx="58">
                  <c:v>-140</c:v>
                </c:pt>
                <c:pt idx="59">
                  <c:v>-130</c:v>
                </c:pt>
                <c:pt idx="60">
                  <c:v>-120</c:v>
                </c:pt>
                <c:pt idx="61">
                  <c:v>-110</c:v>
                </c:pt>
                <c:pt idx="62">
                  <c:v>-100</c:v>
                </c:pt>
                <c:pt idx="63">
                  <c:v>-90</c:v>
                </c:pt>
                <c:pt idx="64">
                  <c:v>-80</c:v>
                </c:pt>
                <c:pt idx="65">
                  <c:v>-70</c:v>
                </c:pt>
                <c:pt idx="66">
                  <c:v>-60</c:v>
                </c:pt>
                <c:pt idx="67">
                  <c:v>-50</c:v>
                </c:pt>
                <c:pt idx="68">
                  <c:v>-40</c:v>
                </c:pt>
                <c:pt idx="69">
                  <c:v>-30</c:v>
                </c:pt>
                <c:pt idx="70">
                  <c:v>-20</c:v>
                </c:pt>
                <c:pt idx="71">
                  <c:v>-10</c:v>
                </c:pt>
                <c:pt idx="72">
                  <c:v>0</c:v>
                </c:pt>
                <c:pt idx="73">
                  <c:v>10</c:v>
                </c:pt>
                <c:pt idx="74">
                  <c:v>20</c:v>
                </c:pt>
                <c:pt idx="75">
                  <c:v>30</c:v>
                </c:pt>
                <c:pt idx="76">
                  <c:v>40</c:v>
                </c:pt>
                <c:pt idx="77">
                  <c:v>50</c:v>
                </c:pt>
                <c:pt idx="78">
                  <c:v>60</c:v>
                </c:pt>
                <c:pt idx="79">
                  <c:v>70</c:v>
                </c:pt>
                <c:pt idx="80">
                  <c:v>80</c:v>
                </c:pt>
                <c:pt idx="81">
                  <c:v>90</c:v>
                </c:pt>
                <c:pt idx="82">
                  <c:v>100</c:v>
                </c:pt>
                <c:pt idx="83">
                  <c:v>110</c:v>
                </c:pt>
                <c:pt idx="84">
                  <c:v>120</c:v>
                </c:pt>
                <c:pt idx="85">
                  <c:v>130</c:v>
                </c:pt>
                <c:pt idx="86">
                  <c:v>140</c:v>
                </c:pt>
                <c:pt idx="87">
                  <c:v>150</c:v>
                </c:pt>
                <c:pt idx="88">
                  <c:v>160</c:v>
                </c:pt>
                <c:pt idx="89">
                  <c:v>170</c:v>
                </c:pt>
                <c:pt idx="90">
                  <c:v>180</c:v>
                </c:pt>
                <c:pt idx="91">
                  <c:v>190</c:v>
                </c:pt>
                <c:pt idx="92">
                  <c:v>200</c:v>
                </c:pt>
                <c:pt idx="93">
                  <c:v>210</c:v>
                </c:pt>
                <c:pt idx="94">
                  <c:v>220</c:v>
                </c:pt>
                <c:pt idx="95">
                  <c:v>230</c:v>
                </c:pt>
                <c:pt idx="96">
                  <c:v>240</c:v>
                </c:pt>
                <c:pt idx="97">
                  <c:v>250</c:v>
                </c:pt>
                <c:pt idx="98">
                  <c:v>260</c:v>
                </c:pt>
                <c:pt idx="99">
                  <c:v>270</c:v>
                </c:pt>
                <c:pt idx="100">
                  <c:v>280</c:v>
                </c:pt>
                <c:pt idx="101">
                  <c:v>290</c:v>
                </c:pt>
                <c:pt idx="102">
                  <c:v>300</c:v>
                </c:pt>
                <c:pt idx="103">
                  <c:v>310</c:v>
                </c:pt>
                <c:pt idx="104">
                  <c:v>320</c:v>
                </c:pt>
                <c:pt idx="105">
                  <c:v>330</c:v>
                </c:pt>
                <c:pt idx="106">
                  <c:v>340</c:v>
                </c:pt>
                <c:pt idx="107">
                  <c:v>350</c:v>
                </c:pt>
                <c:pt idx="108">
                  <c:v>360</c:v>
                </c:pt>
                <c:pt idx="109">
                  <c:v>370</c:v>
                </c:pt>
                <c:pt idx="110">
                  <c:v>380</c:v>
                </c:pt>
                <c:pt idx="111">
                  <c:v>390</c:v>
                </c:pt>
                <c:pt idx="112">
                  <c:v>400</c:v>
                </c:pt>
                <c:pt idx="113">
                  <c:v>410</c:v>
                </c:pt>
                <c:pt idx="114">
                  <c:v>420</c:v>
                </c:pt>
                <c:pt idx="115">
                  <c:v>430</c:v>
                </c:pt>
                <c:pt idx="116">
                  <c:v>440</c:v>
                </c:pt>
                <c:pt idx="117">
                  <c:v>450</c:v>
                </c:pt>
                <c:pt idx="118">
                  <c:v>460</c:v>
                </c:pt>
                <c:pt idx="119">
                  <c:v>470</c:v>
                </c:pt>
                <c:pt idx="120">
                  <c:v>480</c:v>
                </c:pt>
                <c:pt idx="121">
                  <c:v>490</c:v>
                </c:pt>
                <c:pt idx="122">
                  <c:v>500</c:v>
                </c:pt>
                <c:pt idx="123">
                  <c:v>510</c:v>
                </c:pt>
                <c:pt idx="124">
                  <c:v>520</c:v>
                </c:pt>
                <c:pt idx="125">
                  <c:v>530</c:v>
                </c:pt>
                <c:pt idx="126">
                  <c:v>540</c:v>
                </c:pt>
                <c:pt idx="127">
                  <c:v>550</c:v>
                </c:pt>
                <c:pt idx="128">
                  <c:v>560</c:v>
                </c:pt>
                <c:pt idx="129">
                  <c:v>570</c:v>
                </c:pt>
                <c:pt idx="130">
                  <c:v>580</c:v>
                </c:pt>
                <c:pt idx="131">
                  <c:v>590</c:v>
                </c:pt>
                <c:pt idx="132">
                  <c:v>600</c:v>
                </c:pt>
                <c:pt idx="133">
                  <c:v>610</c:v>
                </c:pt>
                <c:pt idx="134">
                  <c:v>620</c:v>
                </c:pt>
                <c:pt idx="135">
                  <c:v>630</c:v>
                </c:pt>
                <c:pt idx="136">
                  <c:v>640</c:v>
                </c:pt>
                <c:pt idx="137">
                  <c:v>650</c:v>
                </c:pt>
                <c:pt idx="138">
                  <c:v>660</c:v>
                </c:pt>
                <c:pt idx="139">
                  <c:v>670</c:v>
                </c:pt>
                <c:pt idx="140">
                  <c:v>680</c:v>
                </c:pt>
                <c:pt idx="141">
                  <c:v>690</c:v>
                </c:pt>
                <c:pt idx="142">
                  <c:v>700</c:v>
                </c:pt>
                <c:pt idx="143">
                  <c:v>710</c:v>
                </c:pt>
                <c:pt idx="144">
                  <c:v>720</c:v>
                </c:pt>
              </c:numCache>
            </c:numRef>
          </c:xVal>
          <c:yVal>
            <c:numRef>
              <c:f>Munka1!$C$2:$C$146</c:f>
              <c:numCache>
                <c:formatCode>General</c:formatCode>
                <c:ptCount val="145"/>
                <c:pt idx="0">
                  <c:v>0.93301270189221941</c:v>
                </c:pt>
                <c:pt idx="1">
                  <c:v>0.88302222155948917</c:v>
                </c:pt>
                <c:pt idx="2">
                  <c:v>0.82139380484326918</c:v>
                </c:pt>
                <c:pt idx="3">
                  <c:v>0.75000000000000033</c:v>
                </c:pt>
                <c:pt idx="4">
                  <c:v>0.671010071662834</c:v>
                </c:pt>
                <c:pt idx="5">
                  <c:v>0.58682408883346493</c:v>
                </c:pt>
                <c:pt idx="6">
                  <c:v>0.49999999999999983</c:v>
                </c:pt>
                <c:pt idx="7">
                  <c:v>0.41317591116653474</c:v>
                </c:pt>
                <c:pt idx="8">
                  <c:v>0.32898992833716567</c:v>
                </c:pt>
                <c:pt idx="9">
                  <c:v>0.25000000000000011</c:v>
                </c:pt>
                <c:pt idx="10">
                  <c:v>0.17860619515672982</c:v>
                </c:pt>
                <c:pt idx="11">
                  <c:v>0.1169777784405106</c:v>
                </c:pt>
                <c:pt idx="12">
                  <c:v>6.6987298107780424E-2</c:v>
                </c:pt>
                <c:pt idx="13">
                  <c:v>3.0153689607045675E-2</c:v>
                </c:pt>
                <c:pt idx="14">
                  <c:v>7.5961234938959343E-3</c:v>
                </c:pt>
                <c:pt idx="15">
                  <c:v>0</c:v>
                </c:pt>
                <c:pt idx="16">
                  <c:v>7.5961234938959898E-3</c:v>
                </c:pt>
                <c:pt idx="17">
                  <c:v>3.0153689607045953E-2</c:v>
                </c:pt>
                <c:pt idx="18">
                  <c:v>6.6987298107780591E-2</c:v>
                </c:pt>
                <c:pt idx="19">
                  <c:v>0.1169777784405111</c:v>
                </c:pt>
                <c:pt idx="20">
                  <c:v>0.17860619515673043</c:v>
                </c:pt>
                <c:pt idx="21">
                  <c:v>0.25000000000000033</c:v>
                </c:pt>
                <c:pt idx="22">
                  <c:v>0.32898992833716556</c:v>
                </c:pt>
                <c:pt idx="23">
                  <c:v>0.41317591116653507</c:v>
                </c:pt>
                <c:pt idx="24">
                  <c:v>0.50000000000000011</c:v>
                </c:pt>
                <c:pt idx="25">
                  <c:v>0.5868240888334656</c:v>
                </c:pt>
                <c:pt idx="26">
                  <c:v>0.67101007166283433</c:v>
                </c:pt>
                <c:pt idx="27">
                  <c:v>0.75000000000000022</c:v>
                </c:pt>
                <c:pt idx="28">
                  <c:v>0.82139380484326985</c:v>
                </c:pt>
                <c:pt idx="29">
                  <c:v>0.88302222155948906</c:v>
                </c:pt>
                <c:pt idx="30">
                  <c:v>0.9330127018922193</c:v>
                </c:pt>
                <c:pt idx="31">
                  <c:v>0.96984631039295421</c:v>
                </c:pt>
                <c:pt idx="32">
                  <c:v>0.99240387650610407</c:v>
                </c:pt>
                <c:pt idx="33">
                  <c:v>1</c:v>
                </c:pt>
                <c:pt idx="34">
                  <c:v>0.99240387650610407</c:v>
                </c:pt>
                <c:pt idx="35">
                  <c:v>0.9698463103929541</c:v>
                </c:pt>
                <c:pt idx="36">
                  <c:v>0.93301270189221919</c:v>
                </c:pt>
                <c:pt idx="37">
                  <c:v>0.88302222155948895</c:v>
                </c:pt>
                <c:pt idx="38">
                  <c:v>0.82139380484326963</c:v>
                </c:pt>
                <c:pt idx="39">
                  <c:v>0.75</c:v>
                </c:pt>
                <c:pt idx="40">
                  <c:v>0.67101007166283433</c:v>
                </c:pt>
                <c:pt idx="41">
                  <c:v>0.58682408883346526</c:v>
                </c:pt>
                <c:pt idx="42">
                  <c:v>0.49999999999999994</c:v>
                </c:pt>
                <c:pt idx="43">
                  <c:v>0.41317591116653485</c:v>
                </c:pt>
                <c:pt idx="44">
                  <c:v>0.32898992833716556</c:v>
                </c:pt>
                <c:pt idx="45">
                  <c:v>0.25</c:v>
                </c:pt>
                <c:pt idx="46">
                  <c:v>0.17860619515673026</c:v>
                </c:pt>
                <c:pt idx="47">
                  <c:v>0.11697777844051099</c:v>
                </c:pt>
                <c:pt idx="48">
                  <c:v>6.6987298107780646E-2</c:v>
                </c:pt>
                <c:pt idx="49">
                  <c:v>3.0153689607045786E-2</c:v>
                </c:pt>
                <c:pt idx="50">
                  <c:v>7.5961234938959898E-3</c:v>
                </c:pt>
                <c:pt idx="51">
                  <c:v>0</c:v>
                </c:pt>
                <c:pt idx="52">
                  <c:v>7.5961234938959898E-3</c:v>
                </c:pt>
                <c:pt idx="53">
                  <c:v>3.0153689607045842E-2</c:v>
                </c:pt>
                <c:pt idx="54">
                  <c:v>6.6987298107780702E-2</c:v>
                </c:pt>
                <c:pt idx="55">
                  <c:v>0.11697777844051099</c:v>
                </c:pt>
                <c:pt idx="56">
                  <c:v>0.17860619515673037</c:v>
                </c:pt>
                <c:pt idx="57">
                  <c:v>0.25</c:v>
                </c:pt>
                <c:pt idx="58">
                  <c:v>0.32898992833716567</c:v>
                </c:pt>
                <c:pt idx="59">
                  <c:v>0.41317591116653485</c:v>
                </c:pt>
                <c:pt idx="60">
                  <c:v>0.5</c:v>
                </c:pt>
                <c:pt idx="61">
                  <c:v>0.58682408883346515</c:v>
                </c:pt>
                <c:pt idx="62">
                  <c:v>0.67101007166283433</c:v>
                </c:pt>
                <c:pt idx="63">
                  <c:v>0.75</c:v>
                </c:pt>
                <c:pt idx="64">
                  <c:v>0.82139380484326963</c:v>
                </c:pt>
                <c:pt idx="65">
                  <c:v>0.88302222155948895</c:v>
                </c:pt>
                <c:pt idx="66">
                  <c:v>0.9330127018922193</c:v>
                </c:pt>
                <c:pt idx="67">
                  <c:v>0.96984631039295421</c:v>
                </c:pt>
                <c:pt idx="68">
                  <c:v>0.99240387650610407</c:v>
                </c:pt>
                <c:pt idx="69">
                  <c:v>1</c:v>
                </c:pt>
                <c:pt idx="70">
                  <c:v>0.99240387650610407</c:v>
                </c:pt>
                <c:pt idx="71">
                  <c:v>0.96984631039295421</c:v>
                </c:pt>
                <c:pt idx="72">
                  <c:v>0.93301270189221941</c:v>
                </c:pt>
                <c:pt idx="73">
                  <c:v>0.88302222155948895</c:v>
                </c:pt>
                <c:pt idx="74">
                  <c:v>0.82139380484326974</c:v>
                </c:pt>
                <c:pt idx="75">
                  <c:v>0.75</c:v>
                </c:pt>
                <c:pt idx="76">
                  <c:v>0.67101007166283444</c:v>
                </c:pt>
                <c:pt idx="77">
                  <c:v>0.58682408883346515</c:v>
                </c:pt>
                <c:pt idx="78">
                  <c:v>0.50000000000000011</c:v>
                </c:pt>
                <c:pt idx="79">
                  <c:v>0.41317591116653474</c:v>
                </c:pt>
                <c:pt idx="80">
                  <c:v>0.32898992833716567</c:v>
                </c:pt>
                <c:pt idx="81">
                  <c:v>0.24999999999999994</c:v>
                </c:pt>
                <c:pt idx="82">
                  <c:v>0.17860619515673037</c:v>
                </c:pt>
                <c:pt idx="83">
                  <c:v>0.11697777844051105</c:v>
                </c:pt>
                <c:pt idx="84">
                  <c:v>6.6987298107780813E-2</c:v>
                </c:pt>
                <c:pt idx="85">
                  <c:v>3.0153689607045897E-2</c:v>
                </c:pt>
                <c:pt idx="86">
                  <c:v>7.5961234938959898E-3</c:v>
                </c:pt>
                <c:pt idx="87">
                  <c:v>0</c:v>
                </c:pt>
                <c:pt idx="88">
                  <c:v>7.5961234938959343E-3</c:v>
                </c:pt>
                <c:pt idx="89">
                  <c:v>3.0153689607045731E-2</c:v>
                </c:pt>
                <c:pt idx="90">
                  <c:v>6.6987298107780702E-2</c:v>
                </c:pt>
                <c:pt idx="91">
                  <c:v>0.11697777844051094</c:v>
                </c:pt>
                <c:pt idx="92">
                  <c:v>0.17860619515673021</c:v>
                </c:pt>
                <c:pt idx="93">
                  <c:v>0.24999999999999978</c:v>
                </c:pt>
                <c:pt idx="94">
                  <c:v>0.32898992833716567</c:v>
                </c:pt>
                <c:pt idx="95">
                  <c:v>0.41317591116653435</c:v>
                </c:pt>
                <c:pt idx="96">
                  <c:v>0.49999999999999989</c:v>
                </c:pt>
                <c:pt idx="97">
                  <c:v>0.58682408883346493</c:v>
                </c:pt>
                <c:pt idx="98">
                  <c:v>0.67101007166283444</c:v>
                </c:pt>
                <c:pt idx="99">
                  <c:v>0.74999999999999967</c:v>
                </c:pt>
                <c:pt idx="100">
                  <c:v>0.82139380484326963</c:v>
                </c:pt>
                <c:pt idx="101">
                  <c:v>0.88302222155948895</c:v>
                </c:pt>
                <c:pt idx="102">
                  <c:v>0.93301270189221941</c:v>
                </c:pt>
                <c:pt idx="103">
                  <c:v>0.96984631039295399</c:v>
                </c:pt>
                <c:pt idx="104">
                  <c:v>0.99240387650610407</c:v>
                </c:pt>
                <c:pt idx="105">
                  <c:v>1</c:v>
                </c:pt>
                <c:pt idx="106">
                  <c:v>0.99240387650610407</c:v>
                </c:pt>
                <c:pt idx="107">
                  <c:v>0.96984631039295432</c:v>
                </c:pt>
                <c:pt idx="108">
                  <c:v>0.93301270189221963</c:v>
                </c:pt>
                <c:pt idx="109">
                  <c:v>0.8830222215594894</c:v>
                </c:pt>
                <c:pt idx="110">
                  <c:v>0.82139380484327018</c:v>
                </c:pt>
                <c:pt idx="111">
                  <c:v>0.74999999999999989</c:v>
                </c:pt>
                <c:pt idx="112">
                  <c:v>0.67101007166283433</c:v>
                </c:pt>
                <c:pt idx="113">
                  <c:v>0.58682408883346526</c:v>
                </c:pt>
                <c:pt idx="114">
                  <c:v>0.50000000000000022</c:v>
                </c:pt>
                <c:pt idx="115">
                  <c:v>0.41317591116653513</c:v>
                </c:pt>
                <c:pt idx="116">
                  <c:v>0.328989928337166</c:v>
                </c:pt>
                <c:pt idx="117">
                  <c:v>0.24999999999999967</c:v>
                </c:pt>
                <c:pt idx="118">
                  <c:v>0.17860619515673082</c:v>
                </c:pt>
                <c:pt idx="119">
                  <c:v>0.11697777844051088</c:v>
                </c:pt>
                <c:pt idx="120">
                  <c:v>6.6987298107780646E-2</c:v>
                </c:pt>
                <c:pt idx="121">
                  <c:v>3.0153689607045786E-2</c:v>
                </c:pt>
                <c:pt idx="122">
                  <c:v>7.5961234938959898E-3</c:v>
                </c:pt>
                <c:pt idx="123">
                  <c:v>0</c:v>
                </c:pt>
                <c:pt idx="124">
                  <c:v>7.5961234938959343E-3</c:v>
                </c:pt>
                <c:pt idx="125">
                  <c:v>3.0153689607045675E-2</c:v>
                </c:pt>
                <c:pt idx="126">
                  <c:v>6.6987298107780424E-2</c:v>
                </c:pt>
                <c:pt idx="127">
                  <c:v>0.1169777784405106</c:v>
                </c:pt>
                <c:pt idx="128">
                  <c:v>0.17860619515673049</c:v>
                </c:pt>
                <c:pt idx="129">
                  <c:v>0.25000000000000006</c:v>
                </c:pt>
                <c:pt idx="130">
                  <c:v>0.32898992833716478</c:v>
                </c:pt>
                <c:pt idx="131">
                  <c:v>0.41317591116653468</c:v>
                </c:pt>
                <c:pt idx="132">
                  <c:v>0.49999999999999978</c:v>
                </c:pt>
                <c:pt idx="133">
                  <c:v>0.58682408883346571</c:v>
                </c:pt>
                <c:pt idx="134">
                  <c:v>0.671010071662834</c:v>
                </c:pt>
                <c:pt idx="135">
                  <c:v>0.74999999999999956</c:v>
                </c:pt>
                <c:pt idx="136">
                  <c:v>0.82139380484326985</c:v>
                </c:pt>
                <c:pt idx="137">
                  <c:v>0.88302222155948917</c:v>
                </c:pt>
                <c:pt idx="138">
                  <c:v>0.93301270189221897</c:v>
                </c:pt>
                <c:pt idx="139">
                  <c:v>0.96984631039295421</c:v>
                </c:pt>
                <c:pt idx="140">
                  <c:v>0.99240387650610407</c:v>
                </c:pt>
                <c:pt idx="141">
                  <c:v>1</c:v>
                </c:pt>
                <c:pt idx="142">
                  <c:v>0.99240387650610407</c:v>
                </c:pt>
                <c:pt idx="143">
                  <c:v>0.96984631039295444</c:v>
                </c:pt>
                <c:pt idx="144">
                  <c:v>0.93301270189221919</c:v>
                </c:pt>
              </c:numCache>
            </c:numRef>
          </c:yVal>
          <c:smooth val="1"/>
        </c:ser>
        <c:ser>
          <c:idx val="2"/>
          <c:order val="2"/>
          <c:tx>
            <c:strRef>
              <c:f>Munka1!$D$1</c:f>
              <c:strCache>
                <c:ptCount val="1"/>
                <c:pt idx="0">
                  <c:v>240</c:v>
                </c:pt>
              </c:strCache>
            </c:strRef>
          </c:tx>
          <c:spPr>
            <a:ln>
              <a:solidFill>
                <a:schemeClr val="accent1"/>
              </a:solidFill>
            </a:ln>
          </c:spPr>
          <c:marker>
            <c:symbol val="none"/>
          </c:marker>
          <c:xVal>
            <c:numRef>
              <c:f>Munka1!$A$2:$A$146</c:f>
              <c:numCache>
                <c:formatCode>General</c:formatCode>
                <c:ptCount val="145"/>
                <c:pt idx="0">
                  <c:v>-720</c:v>
                </c:pt>
                <c:pt idx="1">
                  <c:v>-710</c:v>
                </c:pt>
                <c:pt idx="2">
                  <c:v>-700</c:v>
                </c:pt>
                <c:pt idx="3">
                  <c:v>-690</c:v>
                </c:pt>
                <c:pt idx="4">
                  <c:v>-680</c:v>
                </c:pt>
                <c:pt idx="5">
                  <c:v>-670</c:v>
                </c:pt>
                <c:pt idx="6">
                  <c:v>-660</c:v>
                </c:pt>
                <c:pt idx="7">
                  <c:v>-650</c:v>
                </c:pt>
                <c:pt idx="8">
                  <c:v>-640</c:v>
                </c:pt>
                <c:pt idx="9">
                  <c:v>-630</c:v>
                </c:pt>
                <c:pt idx="10">
                  <c:v>-620</c:v>
                </c:pt>
                <c:pt idx="11">
                  <c:v>-610</c:v>
                </c:pt>
                <c:pt idx="12">
                  <c:v>-600</c:v>
                </c:pt>
                <c:pt idx="13">
                  <c:v>-590</c:v>
                </c:pt>
                <c:pt idx="14">
                  <c:v>-580</c:v>
                </c:pt>
                <c:pt idx="15">
                  <c:v>-570</c:v>
                </c:pt>
                <c:pt idx="16">
                  <c:v>-560</c:v>
                </c:pt>
                <c:pt idx="17">
                  <c:v>-550</c:v>
                </c:pt>
                <c:pt idx="18">
                  <c:v>-540</c:v>
                </c:pt>
                <c:pt idx="19">
                  <c:v>-530</c:v>
                </c:pt>
                <c:pt idx="20">
                  <c:v>-520</c:v>
                </c:pt>
                <c:pt idx="21">
                  <c:v>-510</c:v>
                </c:pt>
                <c:pt idx="22">
                  <c:v>-500</c:v>
                </c:pt>
                <c:pt idx="23">
                  <c:v>-490</c:v>
                </c:pt>
                <c:pt idx="24">
                  <c:v>-480</c:v>
                </c:pt>
                <c:pt idx="25">
                  <c:v>-470</c:v>
                </c:pt>
                <c:pt idx="26">
                  <c:v>-460</c:v>
                </c:pt>
                <c:pt idx="27">
                  <c:v>-450</c:v>
                </c:pt>
                <c:pt idx="28">
                  <c:v>-440</c:v>
                </c:pt>
                <c:pt idx="29">
                  <c:v>-430</c:v>
                </c:pt>
                <c:pt idx="30">
                  <c:v>-420</c:v>
                </c:pt>
                <c:pt idx="31">
                  <c:v>-410</c:v>
                </c:pt>
                <c:pt idx="32">
                  <c:v>-400</c:v>
                </c:pt>
                <c:pt idx="33">
                  <c:v>-390</c:v>
                </c:pt>
                <c:pt idx="34">
                  <c:v>-380</c:v>
                </c:pt>
                <c:pt idx="35">
                  <c:v>-370</c:v>
                </c:pt>
                <c:pt idx="36">
                  <c:v>-360</c:v>
                </c:pt>
                <c:pt idx="37">
                  <c:v>-350</c:v>
                </c:pt>
                <c:pt idx="38">
                  <c:v>-340</c:v>
                </c:pt>
                <c:pt idx="39">
                  <c:v>-330</c:v>
                </c:pt>
                <c:pt idx="40">
                  <c:v>-320</c:v>
                </c:pt>
                <c:pt idx="41">
                  <c:v>-310</c:v>
                </c:pt>
                <c:pt idx="42">
                  <c:v>-300</c:v>
                </c:pt>
                <c:pt idx="43">
                  <c:v>-290</c:v>
                </c:pt>
                <c:pt idx="44">
                  <c:v>-280</c:v>
                </c:pt>
                <c:pt idx="45">
                  <c:v>-270</c:v>
                </c:pt>
                <c:pt idx="46">
                  <c:v>-260</c:v>
                </c:pt>
                <c:pt idx="47">
                  <c:v>-250</c:v>
                </c:pt>
                <c:pt idx="48">
                  <c:v>-240</c:v>
                </c:pt>
                <c:pt idx="49">
                  <c:v>-230</c:v>
                </c:pt>
                <c:pt idx="50">
                  <c:v>-220</c:v>
                </c:pt>
                <c:pt idx="51">
                  <c:v>-210</c:v>
                </c:pt>
                <c:pt idx="52">
                  <c:v>-200</c:v>
                </c:pt>
                <c:pt idx="53">
                  <c:v>-190</c:v>
                </c:pt>
                <c:pt idx="54">
                  <c:v>-180</c:v>
                </c:pt>
                <c:pt idx="55">
                  <c:v>-170</c:v>
                </c:pt>
                <c:pt idx="56">
                  <c:v>-160</c:v>
                </c:pt>
                <c:pt idx="57">
                  <c:v>-150</c:v>
                </c:pt>
                <c:pt idx="58">
                  <c:v>-140</c:v>
                </c:pt>
                <c:pt idx="59">
                  <c:v>-130</c:v>
                </c:pt>
                <c:pt idx="60">
                  <c:v>-120</c:v>
                </c:pt>
                <c:pt idx="61">
                  <c:v>-110</c:v>
                </c:pt>
                <c:pt idx="62">
                  <c:v>-100</c:v>
                </c:pt>
                <c:pt idx="63">
                  <c:v>-90</c:v>
                </c:pt>
                <c:pt idx="64">
                  <c:v>-80</c:v>
                </c:pt>
                <c:pt idx="65">
                  <c:v>-70</c:v>
                </c:pt>
                <c:pt idx="66">
                  <c:v>-60</c:v>
                </c:pt>
                <c:pt idx="67">
                  <c:v>-50</c:v>
                </c:pt>
                <c:pt idx="68">
                  <c:v>-40</c:v>
                </c:pt>
                <c:pt idx="69">
                  <c:v>-30</c:v>
                </c:pt>
                <c:pt idx="70">
                  <c:v>-20</c:v>
                </c:pt>
                <c:pt idx="71">
                  <c:v>-10</c:v>
                </c:pt>
                <c:pt idx="72">
                  <c:v>0</c:v>
                </c:pt>
                <c:pt idx="73">
                  <c:v>10</c:v>
                </c:pt>
                <c:pt idx="74">
                  <c:v>20</c:v>
                </c:pt>
                <c:pt idx="75">
                  <c:v>30</c:v>
                </c:pt>
                <c:pt idx="76">
                  <c:v>40</c:v>
                </c:pt>
                <c:pt idx="77">
                  <c:v>50</c:v>
                </c:pt>
                <c:pt idx="78">
                  <c:v>60</c:v>
                </c:pt>
                <c:pt idx="79">
                  <c:v>70</c:v>
                </c:pt>
                <c:pt idx="80">
                  <c:v>80</c:v>
                </c:pt>
                <c:pt idx="81">
                  <c:v>90</c:v>
                </c:pt>
                <c:pt idx="82">
                  <c:v>100</c:v>
                </c:pt>
                <c:pt idx="83">
                  <c:v>110</c:v>
                </c:pt>
                <c:pt idx="84">
                  <c:v>120</c:v>
                </c:pt>
                <c:pt idx="85">
                  <c:v>130</c:v>
                </c:pt>
                <c:pt idx="86">
                  <c:v>140</c:v>
                </c:pt>
                <c:pt idx="87">
                  <c:v>150</c:v>
                </c:pt>
                <c:pt idx="88">
                  <c:v>160</c:v>
                </c:pt>
                <c:pt idx="89">
                  <c:v>170</c:v>
                </c:pt>
                <c:pt idx="90">
                  <c:v>180</c:v>
                </c:pt>
                <c:pt idx="91">
                  <c:v>190</c:v>
                </c:pt>
                <c:pt idx="92">
                  <c:v>200</c:v>
                </c:pt>
                <c:pt idx="93">
                  <c:v>210</c:v>
                </c:pt>
                <c:pt idx="94">
                  <c:v>220</c:v>
                </c:pt>
                <c:pt idx="95">
                  <c:v>230</c:v>
                </c:pt>
                <c:pt idx="96">
                  <c:v>240</c:v>
                </c:pt>
                <c:pt idx="97">
                  <c:v>250</c:v>
                </c:pt>
                <c:pt idx="98">
                  <c:v>260</c:v>
                </c:pt>
                <c:pt idx="99">
                  <c:v>270</c:v>
                </c:pt>
                <c:pt idx="100">
                  <c:v>280</c:v>
                </c:pt>
                <c:pt idx="101">
                  <c:v>290</c:v>
                </c:pt>
                <c:pt idx="102">
                  <c:v>300</c:v>
                </c:pt>
                <c:pt idx="103">
                  <c:v>310</c:v>
                </c:pt>
                <c:pt idx="104">
                  <c:v>320</c:v>
                </c:pt>
                <c:pt idx="105">
                  <c:v>330</c:v>
                </c:pt>
                <c:pt idx="106">
                  <c:v>340</c:v>
                </c:pt>
                <c:pt idx="107">
                  <c:v>350</c:v>
                </c:pt>
                <c:pt idx="108">
                  <c:v>360</c:v>
                </c:pt>
                <c:pt idx="109">
                  <c:v>370</c:v>
                </c:pt>
                <c:pt idx="110">
                  <c:v>380</c:v>
                </c:pt>
                <c:pt idx="111">
                  <c:v>390</c:v>
                </c:pt>
                <c:pt idx="112">
                  <c:v>400</c:v>
                </c:pt>
                <c:pt idx="113">
                  <c:v>410</c:v>
                </c:pt>
                <c:pt idx="114">
                  <c:v>420</c:v>
                </c:pt>
                <c:pt idx="115">
                  <c:v>430</c:v>
                </c:pt>
                <c:pt idx="116">
                  <c:v>440</c:v>
                </c:pt>
                <c:pt idx="117">
                  <c:v>450</c:v>
                </c:pt>
                <c:pt idx="118">
                  <c:v>460</c:v>
                </c:pt>
                <c:pt idx="119">
                  <c:v>470</c:v>
                </c:pt>
                <c:pt idx="120">
                  <c:v>480</c:v>
                </c:pt>
                <c:pt idx="121">
                  <c:v>490</c:v>
                </c:pt>
                <c:pt idx="122">
                  <c:v>500</c:v>
                </c:pt>
                <c:pt idx="123">
                  <c:v>510</c:v>
                </c:pt>
                <c:pt idx="124">
                  <c:v>520</c:v>
                </c:pt>
                <c:pt idx="125">
                  <c:v>530</c:v>
                </c:pt>
                <c:pt idx="126">
                  <c:v>540</c:v>
                </c:pt>
                <c:pt idx="127">
                  <c:v>550</c:v>
                </c:pt>
                <c:pt idx="128">
                  <c:v>560</c:v>
                </c:pt>
                <c:pt idx="129">
                  <c:v>570</c:v>
                </c:pt>
                <c:pt idx="130">
                  <c:v>580</c:v>
                </c:pt>
                <c:pt idx="131">
                  <c:v>590</c:v>
                </c:pt>
                <c:pt idx="132">
                  <c:v>600</c:v>
                </c:pt>
                <c:pt idx="133">
                  <c:v>610</c:v>
                </c:pt>
                <c:pt idx="134">
                  <c:v>620</c:v>
                </c:pt>
                <c:pt idx="135">
                  <c:v>630</c:v>
                </c:pt>
                <c:pt idx="136">
                  <c:v>640</c:v>
                </c:pt>
                <c:pt idx="137">
                  <c:v>650</c:v>
                </c:pt>
                <c:pt idx="138">
                  <c:v>660</c:v>
                </c:pt>
                <c:pt idx="139">
                  <c:v>670</c:v>
                </c:pt>
                <c:pt idx="140">
                  <c:v>680</c:v>
                </c:pt>
                <c:pt idx="141">
                  <c:v>690</c:v>
                </c:pt>
                <c:pt idx="142">
                  <c:v>700</c:v>
                </c:pt>
                <c:pt idx="143">
                  <c:v>710</c:v>
                </c:pt>
                <c:pt idx="144">
                  <c:v>720</c:v>
                </c:pt>
              </c:numCache>
            </c:numRef>
          </c:xVal>
          <c:yVal>
            <c:numRef>
              <c:f>Munka1!$D$2:$D$146</c:f>
              <c:numCache>
                <c:formatCode>General</c:formatCode>
                <c:ptCount val="145"/>
                <c:pt idx="0">
                  <c:v>6.6987298107780424E-2</c:v>
                </c:pt>
                <c:pt idx="1">
                  <c:v>3.0153689607045675E-2</c:v>
                </c:pt>
                <c:pt idx="2">
                  <c:v>7.5961234938959343E-3</c:v>
                </c:pt>
                <c:pt idx="3">
                  <c:v>0</c:v>
                </c:pt>
                <c:pt idx="4">
                  <c:v>7.5961234938959898E-3</c:v>
                </c:pt>
                <c:pt idx="5">
                  <c:v>3.0153689607045953E-2</c:v>
                </c:pt>
                <c:pt idx="6">
                  <c:v>6.6987298107780591E-2</c:v>
                </c:pt>
                <c:pt idx="7">
                  <c:v>0.1169777784405111</c:v>
                </c:pt>
                <c:pt idx="8">
                  <c:v>0.17860619515673043</c:v>
                </c:pt>
                <c:pt idx="9">
                  <c:v>0.25000000000000033</c:v>
                </c:pt>
                <c:pt idx="10">
                  <c:v>0.32898992833716556</c:v>
                </c:pt>
                <c:pt idx="11">
                  <c:v>0.41317591116653507</c:v>
                </c:pt>
                <c:pt idx="12">
                  <c:v>0.50000000000000011</c:v>
                </c:pt>
                <c:pt idx="13">
                  <c:v>0.5868240888334656</c:v>
                </c:pt>
                <c:pt idx="14">
                  <c:v>0.67101007166283433</c:v>
                </c:pt>
                <c:pt idx="15">
                  <c:v>0.75000000000000022</c:v>
                </c:pt>
                <c:pt idx="16">
                  <c:v>0.82139380484326985</c:v>
                </c:pt>
                <c:pt idx="17">
                  <c:v>0.88302222155948906</c:v>
                </c:pt>
                <c:pt idx="18">
                  <c:v>0.9330127018922193</c:v>
                </c:pt>
                <c:pt idx="19">
                  <c:v>0.96984631039295421</c:v>
                </c:pt>
                <c:pt idx="20">
                  <c:v>0.99240387650610407</c:v>
                </c:pt>
                <c:pt idx="21">
                  <c:v>1</c:v>
                </c:pt>
                <c:pt idx="22">
                  <c:v>0.99240387650610407</c:v>
                </c:pt>
                <c:pt idx="23">
                  <c:v>0.9698463103929541</c:v>
                </c:pt>
                <c:pt idx="24">
                  <c:v>0.93301270189221919</c:v>
                </c:pt>
                <c:pt idx="25">
                  <c:v>0.88302222155948895</c:v>
                </c:pt>
                <c:pt idx="26">
                  <c:v>0.82139380484326963</c:v>
                </c:pt>
                <c:pt idx="27">
                  <c:v>0.75</c:v>
                </c:pt>
                <c:pt idx="28">
                  <c:v>0.67101007166283433</c:v>
                </c:pt>
                <c:pt idx="29">
                  <c:v>0.58682408883346526</c:v>
                </c:pt>
                <c:pt idx="30">
                  <c:v>0.49999999999999994</c:v>
                </c:pt>
                <c:pt idx="31">
                  <c:v>0.41317591116653485</c:v>
                </c:pt>
                <c:pt idx="32">
                  <c:v>0.32898992833716556</c:v>
                </c:pt>
                <c:pt idx="33">
                  <c:v>0.25</c:v>
                </c:pt>
                <c:pt idx="34">
                  <c:v>0.17860619515673026</c:v>
                </c:pt>
                <c:pt idx="35">
                  <c:v>0.11697777844051099</c:v>
                </c:pt>
                <c:pt idx="36">
                  <c:v>6.6987298107780646E-2</c:v>
                </c:pt>
                <c:pt idx="37">
                  <c:v>3.0153689607045786E-2</c:v>
                </c:pt>
                <c:pt idx="38">
                  <c:v>7.5961234938959898E-3</c:v>
                </c:pt>
                <c:pt idx="39">
                  <c:v>0</c:v>
                </c:pt>
                <c:pt idx="40">
                  <c:v>7.5961234938959898E-3</c:v>
                </c:pt>
                <c:pt idx="41">
                  <c:v>3.0153689607045842E-2</c:v>
                </c:pt>
                <c:pt idx="42">
                  <c:v>6.6987298107780702E-2</c:v>
                </c:pt>
                <c:pt idx="43">
                  <c:v>0.11697777844051099</c:v>
                </c:pt>
                <c:pt idx="44">
                  <c:v>0.17860619515673037</c:v>
                </c:pt>
                <c:pt idx="45">
                  <c:v>0.25</c:v>
                </c:pt>
                <c:pt idx="46">
                  <c:v>0.32898992833716567</c:v>
                </c:pt>
                <c:pt idx="47">
                  <c:v>0.41317591116653485</c:v>
                </c:pt>
                <c:pt idx="48">
                  <c:v>0.5</c:v>
                </c:pt>
                <c:pt idx="49">
                  <c:v>0.58682408883346515</c:v>
                </c:pt>
                <c:pt idx="50">
                  <c:v>0.67101007166283433</c:v>
                </c:pt>
                <c:pt idx="51">
                  <c:v>0.75</c:v>
                </c:pt>
                <c:pt idx="52">
                  <c:v>0.82139380484326963</c:v>
                </c:pt>
                <c:pt idx="53">
                  <c:v>0.88302222155948895</c:v>
                </c:pt>
                <c:pt idx="54">
                  <c:v>0.9330127018922193</c:v>
                </c:pt>
                <c:pt idx="55">
                  <c:v>0.96984631039295421</c:v>
                </c:pt>
                <c:pt idx="56">
                  <c:v>0.99240387650610407</c:v>
                </c:pt>
                <c:pt idx="57">
                  <c:v>1</c:v>
                </c:pt>
                <c:pt idx="58">
                  <c:v>0.99240387650610407</c:v>
                </c:pt>
                <c:pt idx="59">
                  <c:v>0.96984631039295421</c:v>
                </c:pt>
                <c:pt idx="60">
                  <c:v>0.93301270189221941</c:v>
                </c:pt>
                <c:pt idx="61">
                  <c:v>0.88302222155948895</c:v>
                </c:pt>
                <c:pt idx="62">
                  <c:v>0.82139380484326974</c:v>
                </c:pt>
                <c:pt idx="63">
                  <c:v>0.75</c:v>
                </c:pt>
                <c:pt idx="64">
                  <c:v>0.67101007166283444</c:v>
                </c:pt>
                <c:pt idx="65">
                  <c:v>0.58682408883346515</c:v>
                </c:pt>
                <c:pt idx="66">
                  <c:v>0.50000000000000011</c:v>
                </c:pt>
                <c:pt idx="67">
                  <c:v>0.41317591116653474</c:v>
                </c:pt>
                <c:pt idx="68">
                  <c:v>0.32898992833716567</c:v>
                </c:pt>
                <c:pt idx="69">
                  <c:v>0.24999999999999994</c:v>
                </c:pt>
                <c:pt idx="70">
                  <c:v>0.17860619515673037</c:v>
                </c:pt>
                <c:pt idx="71">
                  <c:v>0.11697777844051105</c:v>
                </c:pt>
                <c:pt idx="72">
                  <c:v>6.6987298107780813E-2</c:v>
                </c:pt>
                <c:pt idx="73">
                  <c:v>3.0153689607045897E-2</c:v>
                </c:pt>
                <c:pt idx="74">
                  <c:v>7.5961234938959898E-3</c:v>
                </c:pt>
                <c:pt idx="75">
                  <c:v>0</c:v>
                </c:pt>
                <c:pt idx="76">
                  <c:v>7.5961234938959343E-3</c:v>
                </c:pt>
                <c:pt idx="77">
                  <c:v>3.0153689607045731E-2</c:v>
                </c:pt>
                <c:pt idx="78">
                  <c:v>6.6987298107780702E-2</c:v>
                </c:pt>
                <c:pt idx="79">
                  <c:v>0.11697777844051094</c:v>
                </c:pt>
                <c:pt idx="80">
                  <c:v>0.17860619515673021</c:v>
                </c:pt>
                <c:pt idx="81">
                  <c:v>0.24999999999999978</c:v>
                </c:pt>
                <c:pt idx="82">
                  <c:v>0.32898992833716567</c:v>
                </c:pt>
                <c:pt idx="83">
                  <c:v>0.41317591116653435</c:v>
                </c:pt>
                <c:pt idx="84">
                  <c:v>0.49999999999999989</c:v>
                </c:pt>
                <c:pt idx="85">
                  <c:v>0.58682408883346493</c:v>
                </c:pt>
                <c:pt idx="86">
                  <c:v>0.67101007166283444</c:v>
                </c:pt>
                <c:pt idx="87">
                  <c:v>0.74999999999999967</c:v>
                </c:pt>
                <c:pt idx="88">
                  <c:v>0.82139380484326963</c:v>
                </c:pt>
                <c:pt idx="89">
                  <c:v>0.88302222155948895</c:v>
                </c:pt>
                <c:pt idx="90">
                  <c:v>0.93301270189221941</c:v>
                </c:pt>
                <c:pt idx="91">
                  <c:v>0.96984631039295399</c:v>
                </c:pt>
                <c:pt idx="92">
                  <c:v>0.99240387650610407</c:v>
                </c:pt>
                <c:pt idx="93">
                  <c:v>1</c:v>
                </c:pt>
                <c:pt idx="94">
                  <c:v>0.99240387650610407</c:v>
                </c:pt>
                <c:pt idx="95">
                  <c:v>0.96984631039295432</c:v>
                </c:pt>
                <c:pt idx="96">
                  <c:v>0.93301270189221963</c:v>
                </c:pt>
                <c:pt idx="97">
                  <c:v>0.8830222215594894</c:v>
                </c:pt>
                <c:pt idx="98">
                  <c:v>0.82139380484327018</c:v>
                </c:pt>
                <c:pt idx="99">
                  <c:v>0.74999999999999989</c:v>
                </c:pt>
                <c:pt idx="100">
                  <c:v>0.67101007166283433</c:v>
                </c:pt>
                <c:pt idx="101">
                  <c:v>0.58682408883346526</c:v>
                </c:pt>
                <c:pt idx="102">
                  <c:v>0.50000000000000022</c:v>
                </c:pt>
                <c:pt idx="103">
                  <c:v>0.41317591116653513</c:v>
                </c:pt>
                <c:pt idx="104">
                  <c:v>0.328989928337166</c:v>
                </c:pt>
                <c:pt idx="105">
                  <c:v>0.24999999999999967</c:v>
                </c:pt>
                <c:pt idx="106">
                  <c:v>0.17860619515673082</c:v>
                </c:pt>
                <c:pt idx="107">
                  <c:v>0.11697777844051088</c:v>
                </c:pt>
                <c:pt idx="108">
                  <c:v>6.6987298107780646E-2</c:v>
                </c:pt>
                <c:pt idx="109">
                  <c:v>3.0153689607045786E-2</c:v>
                </c:pt>
                <c:pt idx="110">
                  <c:v>7.5961234938959898E-3</c:v>
                </c:pt>
                <c:pt idx="111">
                  <c:v>0</c:v>
                </c:pt>
                <c:pt idx="112">
                  <c:v>7.5961234938959343E-3</c:v>
                </c:pt>
                <c:pt idx="113">
                  <c:v>3.0153689607045675E-2</c:v>
                </c:pt>
                <c:pt idx="114">
                  <c:v>6.6987298107780424E-2</c:v>
                </c:pt>
                <c:pt idx="115">
                  <c:v>0.1169777784405106</c:v>
                </c:pt>
                <c:pt idx="116">
                  <c:v>0.17860619515673049</c:v>
                </c:pt>
                <c:pt idx="117">
                  <c:v>0.25000000000000006</c:v>
                </c:pt>
                <c:pt idx="118">
                  <c:v>0.32898992833716478</c:v>
                </c:pt>
                <c:pt idx="119">
                  <c:v>0.41317591116653468</c:v>
                </c:pt>
                <c:pt idx="120">
                  <c:v>0.49999999999999978</c:v>
                </c:pt>
                <c:pt idx="121">
                  <c:v>0.58682408883346571</c:v>
                </c:pt>
                <c:pt idx="122">
                  <c:v>0.671010071662834</c:v>
                </c:pt>
                <c:pt idx="123">
                  <c:v>0.74999999999999956</c:v>
                </c:pt>
                <c:pt idx="124">
                  <c:v>0.82139380484326985</c:v>
                </c:pt>
                <c:pt idx="125">
                  <c:v>0.88302222155948917</c:v>
                </c:pt>
                <c:pt idx="126">
                  <c:v>0.93301270189221897</c:v>
                </c:pt>
                <c:pt idx="127">
                  <c:v>0.96984631039295421</c:v>
                </c:pt>
                <c:pt idx="128">
                  <c:v>0.99240387650610407</c:v>
                </c:pt>
                <c:pt idx="129">
                  <c:v>1</c:v>
                </c:pt>
                <c:pt idx="130">
                  <c:v>0.99240387650610407</c:v>
                </c:pt>
                <c:pt idx="131">
                  <c:v>0.96984631039295444</c:v>
                </c:pt>
                <c:pt idx="132">
                  <c:v>0.93301270189221919</c:v>
                </c:pt>
                <c:pt idx="133">
                  <c:v>0.8830222215594894</c:v>
                </c:pt>
                <c:pt idx="134">
                  <c:v>0.82139380484327029</c:v>
                </c:pt>
                <c:pt idx="135">
                  <c:v>0.75</c:v>
                </c:pt>
                <c:pt idx="136">
                  <c:v>0.67101007166283444</c:v>
                </c:pt>
                <c:pt idx="137">
                  <c:v>0.58682408883346626</c:v>
                </c:pt>
                <c:pt idx="138">
                  <c:v>0.50000000000000033</c:v>
                </c:pt>
                <c:pt idx="139">
                  <c:v>0.41317591116653524</c:v>
                </c:pt>
                <c:pt idx="140">
                  <c:v>0.32898992833716612</c:v>
                </c:pt>
                <c:pt idx="141">
                  <c:v>0.25000000000000056</c:v>
                </c:pt>
                <c:pt idx="142">
                  <c:v>0.17860619515673087</c:v>
                </c:pt>
                <c:pt idx="143">
                  <c:v>0.11697777844051149</c:v>
                </c:pt>
                <c:pt idx="144">
                  <c:v>6.6987298107781146E-2</c:v>
                </c:pt>
              </c:numCache>
            </c:numRef>
          </c:yVal>
          <c:smooth val="1"/>
        </c:ser>
        <c:dLbls>
          <c:showLegendKey val="0"/>
          <c:showVal val="0"/>
          <c:showCatName val="0"/>
          <c:showSerName val="0"/>
          <c:showPercent val="0"/>
          <c:showBubbleSize val="0"/>
        </c:dLbls>
        <c:axId val="105757696"/>
        <c:axId val="108991232"/>
      </c:scatterChart>
      <c:valAx>
        <c:axId val="105757696"/>
        <c:scaling>
          <c:orientation val="minMax"/>
          <c:max val="600"/>
          <c:min val="-600"/>
        </c:scaling>
        <c:delete val="0"/>
        <c:axPos val="b"/>
        <c:numFmt formatCode="General" sourceLinked="1"/>
        <c:majorTickMark val="out"/>
        <c:minorTickMark val="none"/>
        <c:tickLblPos val="nextTo"/>
        <c:crossAx val="108991232"/>
        <c:crosses val="autoZero"/>
        <c:crossBetween val="midCat"/>
      </c:valAx>
      <c:valAx>
        <c:axId val="108991232"/>
        <c:scaling>
          <c:orientation val="minMax"/>
          <c:max val="1"/>
          <c:min val="0"/>
        </c:scaling>
        <c:delete val="0"/>
        <c:axPos val="l"/>
        <c:majorGridlines/>
        <c:numFmt formatCode="General" sourceLinked="1"/>
        <c:majorTickMark val="out"/>
        <c:minorTickMark val="none"/>
        <c:tickLblPos val="nextTo"/>
        <c:crossAx val="105757696"/>
        <c:crosses val="autoZero"/>
        <c:crossBetween val="midCat"/>
        <c:majorUnit val="0.25"/>
        <c:minorUnit val="0.25"/>
      </c:valAx>
      <c:spPr>
        <a:ln>
          <a:solidFill>
            <a:schemeClr val="tx1"/>
          </a:solidFill>
        </a:ln>
      </c:spPr>
    </c:plotArea>
    <c:legend>
      <c:legendPos val="r"/>
      <c:layout>
        <c:manualLayout>
          <c:xMode val="edge"/>
          <c:yMode val="edge"/>
          <c:x val="0.90464379947229556"/>
          <c:y val="0.41176367754105198"/>
          <c:w val="7.9525065963060693E-2"/>
          <c:h val="0.13621780328306418"/>
        </c:manualLayout>
      </c:layout>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4</xdr:col>
          <xdr:colOff>0</xdr:colOff>
          <xdr:row>2</xdr:row>
          <xdr:rowOff>0</xdr:rowOff>
        </xdr:to>
        <xdr:sp macro="" textlink="">
          <xdr:nvSpPr>
            <xdr:cNvPr id="1025" name="RunButto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561975</xdr:colOff>
      <xdr:row>2</xdr:row>
      <xdr:rowOff>180975</xdr:rowOff>
    </xdr:from>
    <xdr:to>
      <xdr:col>17</xdr:col>
      <xdr:colOff>466725</xdr:colOff>
      <xdr:row>29</xdr:row>
      <xdr:rowOff>95250</xdr:rowOff>
    </xdr:to>
    <xdr:graphicFrame macro="">
      <xdr:nvGraphicFramePr>
        <xdr:cNvPr id="4" name="Diagram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unka1"/>
  <dimension ref="A1:B14"/>
  <sheetViews>
    <sheetView tabSelected="1" topLeftCell="B1" zoomScaleNormal="100" workbookViewId="0">
      <selection activeCell="C2" sqref="C2"/>
    </sheetView>
  </sheetViews>
  <sheetFormatPr defaultRowHeight="15" x14ac:dyDescent="0.25"/>
  <cols>
    <col min="1" max="1" width="9.28515625" style="10" customWidth="1"/>
    <col min="2" max="2" width="105.28515625" style="11" customWidth="1"/>
  </cols>
  <sheetData>
    <row r="1" spans="1:2" x14ac:dyDescent="0.25">
      <c r="A1" s="1" t="s">
        <v>0</v>
      </c>
      <c r="B1" s="1" t="s">
        <v>6</v>
      </c>
    </row>
    <row r="2" spans="1:2" ht="72" x14ac:dyDescent="0.25">
      <c r="A2" s="6">
        <v>1</v>
      </c>
      <c r="B2" s="2" t="s">
        <v>7</v>
      </c>
    </row>
    <row r="3" spans="1:2" ht="60" x14ac:dyDescent="0.25">
      <c r="A3" s="7" t="s">
        <v>8</v>
      </c>
      <c r="B3" s="8" t="s">
        <v>9</v>
      </c>
    </row>
    <row r="4" spans="1:2" ht="36" x14ac:dyDescent="0.25">
      <c r="A4" s="7" t="s">
        <v>1</v>
      </c>
      <c r="B4" s="8" t="s">
        <v>10</v>
      </c>
    </row>
    <row r="5" spans="1:2" ht="36" x14ac:dyDescent="0.25">
      <c r="A5" s="7" t="s">
        <v>2</v>
      </c>
      <c r="B5" s="8" t="s">
        <v>11</v>
      </c>
    </row>
    <row r="6" spans="1:2" x14ac:dyDescent="0.25">
      <c r="A6" s="9" t="s">
        <v>3</v>
      </c>
      <c r="B6" s="4" t="s">
        <v>12</v>
      </c>
    </row>
    <row r="7" spans="1:2" ht="60" x14ac:dyDescent="0.25">
      <c r="A7" s="6" t="s">
        <v>4</v>
      </c>
      <c r="B7" s="3" t="s">
        <v>13</v>
      </c>
    </row>
    <row r="8" spans="1:2" ht="36" x14ac:dyDescent="0.25">
      <c r="A8" s="9" t="s">
        <v>5</v>
      </c>
      <c r="B8" s="5" t="s">
        <v>14</v>
      </c>
    </row>
    <row r="11" spans="1:2" x14ac:dyDescent="0.25">
      <c r="A11" s="1" t="s">
        <v>15</v>
      </c>
      <c r="B11" s="1" t="s">
        <v>16</v>
      </c>
    </row>
    <row r="12" spans="1:2" ht="72" x14ac:dyDescent="0.25">
      <c r="A12" s="12" t="s">
        <v>17</v>
      </c>
      <c r="B12" s="8" t="s">
        <v>18</v>
      </c>
    </row>
    <row r="13" spans="1:2" ht="96" x14ac:dyDescent="0.25">
      <c r="A13" s="12" t="s">
        <v>19</v>
      </c>
      <c r="B13" s="8" t="s">
        <v>20</v>
      </c>
    </row>
    <row r="14" spans="1:2" ht="60" x14ac:dyDescent="0.25">
      <c r="A14" s="12" t="s">
        <v>21</v>
      </c>
      <c r="B14" s="8" t="s">
        <v>22</v>
      </c>
    </row>
  </sheetData>
  <dataConsolidate/>
  <conditionalFormatting sqref="A1:B9">
    <cfRule type="cellIs" dxfId="0" priority="1" operator="equal">
      <formula>"X"</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RunButton">
          <controlPr defaultSize="0" autoFill="0" autoLine="0" r:id="rId5">
            <anchor moveWithCells="1">
              <from>
                <xdr:col>3</xdr:col>
                <xdr:colOff>0</xdr:colOff>
                <xdr:row>0</xdr:row>
                <xdr:rowOff>180975</xdr:rowOff>
              </from>
              <to>
                <xdr:col>4</xdr:col>
                <xdr:colOff>0</xdr:colOff>
                <xdr:row>2</xdr:row>
                <xdr:rowOff>0</xdr:rowOff>
              </to>
            </anchor>
          </controlPr>
        </control>
      </mc:Choice>
      <mc:Fallback>
        <control shapeId="1025" r:id="rId4" name="Run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
  <dimension ref="A1:F146"/>
  <sheetViews>
    <sheetView workbookViewId="0">
      <selection activeCell="U9" sqref="U9"/>
    </sheetView>
  </sheetViews>
  <sheetFormatPr defaultRowHeight="15" x14ac:dyDescent="0.25"/>
  <cols>
    <col min="2" max="2" width="9.140625" style="13"/>
    <col min="3" max="3" width="9.140625" style="14"/>
    <col min="4" max="4" width="10" style="15" bestFit="1" customWidth="1"/>
    <col min="5" max="5" width="9.140625" style="16"/>
  </cols>
  <sheetData>
    <row r="1" spans="1:6" x14ac:dyDescent="0.25">
      <c r="A1" t="s">
        <v>23</v>
      </c>
      <c r="B1" s="13">
        <v>0</v>
      </c>
      <c r="C1" s="14">
        <v>120</v>
      </c>
      <c r="D1" s="15">
        <v>240</v>
      </c>
      <c r="F1">
        <v>1</v>
      </c>
    </row>
    <row r="2" spans="1:6" x14ac:dyDescent="0.25">
      <c r="A2">
        <v>-720</v>
      </c>
      <c r="B2" s="13">
        <f t="shared" ref="B2:D33" si="0">(SIN(($A2+B$1)*PI()/180)+$F$1)*$F$2</f>
        <v>0.50000000000000022</v>
      </c>
      <c r="C2" s="14">
        <f t="shared" si="0"/>
        <v>0.93301270189221941</v>
      </c>
      <c r="D2" s="15">
        <f t="shared" si="0"/>
        <v>6.6987298107780424E-2</v>
      </c>
      <c r="F2">
        <v>0.5</v>
      </c>
    </row>
    <row r="3" spans="1:6" x14ac:dyDescent="0.25">
      <c r="A3">
        <v>-710</v>
      </c>
      <c r="B3" s="13">
        <f t="shared" si="0"/>
        <v>0.58682408883346526</v>
      </c>
      <c r="C3" s="14">
        <f t="shared" si="0"/>
        <v>0.88302222155948917</v>
      </c>
      <c r="D3" s="15">
        <f t="shared" si="0"/>
        <v>3.0153689607045675E-2</v>
      </c>
    </row>
    <row r="4" spans="1:6" x14ac:dyDescent="0.25">
      <c r="A4">
        <v>-700</v>
      </c>
      <c r="B4" s="13">
        <f t="shared" si="0"/>
        <v>0.67101007166283522</v>
      </c>
      <c r="C4" s="14">
        <f t="shared" si="0"/>
        <v>0.82139380484326918</v>
      </c>
      <c r="D4" s="15">
        <f t="shared" si="0"/>
        <v>7.5961234938959343E-3</v>
      </c>
    </row>
    <row r="5" spans="1:6" x14ac:dyDescent="0.25">
      <c r="A5">
        <v>-690</v>
      </c>
      <c r="B5" s="13">
        <f t="shared" si="0"/>
        <v>0.75</v>
      </c>
      <c r="C5" s="14">
        <f t="shared" si="0"/>
        <v>0.75000000000000033</v>
      </c>
      <c r="D5" s="15">
        <f t="shared" si="0"/>
        <v>0</v>
      </c>
    </row>
    <row r="6" spans="1:6" x14ac:dyDescent="0.25">
      <c r="A6">
        <v>-680</v>
      </c>
      <c r="B6" s="13">
        <f t="shared" si="0"/>
        <v>0.82139380484326951</v>
      </c>
      <c r="C6" s="14">
        <f t="shared" si="0"/>
        <v>0.671010071662834</v>
      </c>
      <c r="D6" s="15">
        <f t="shared" si="0"/>
        <v>7.5961234938959898E-3</v>
      </c>
    </row>
    <row r="7" spans="1:6" x14ac:dyDescent="0.25">
      <c r="A7">
        <v>-670</v>
      </c>
      <c r="B7" s="13">
        <f t="shared" si="0"/>
        <v>0.8830222215594894</v>
      </c>
      <c r="C7" s="14">
        <f t="shared" si="0"/>
        <v>0.58682408883346493</v>
      </c>
      <c r="D7" s="15">
        <f t="shared" si="0"/>
        <v>3.0153689607045953E-2</v>
      </c>
    </row>
    <row r="8" spans="1:6" x14ac:dyDescent="0.25">
      <c r="A8">
        <v>-660</v>
      </c>
      <c r="B8" s="13">
        <f t="shared" si="0"/>
        <v>0.93301270189221963</v>
      </c>
      <c r="C8" s="14">
        <f t="shared" si="0"/>
        <v>0.49999999999999983</v>
      </c>
      <c r="D8" s="15">
        <f t="shared" si="0"/>
        <v>6.6987298107780591E-2</v>
      </c>
    </row>
    <row r="9" spans="1:6" x14ac:dyDescent="0.25">
      <c r="A9">
        <v>-650</v>
      </c>
      <c r="B9" s="13">
        <f t="shared" si="0"/>
        <v>0.96984631039295432</v>
      </c>
      <c r="C9" s="14">
        <f t="shared" si="0"/>
        <v>0.41317591116653474</v>
      </c>
      <c r="D9" s="15">
        <f t="shared" si="0"/>
        <v>0.1169777784405111</v>
      </c>
    </row>
    <row r="10" spans="1:6" x14ac:dyDescent="0.25">
      <c r="A10">
        <v>-640</v>
      </c>
      <c r="B10" s="13">
        <f t="shared" si="0"/>
        <v>0.99240387650610407</v>
      </c>
      <c r="C10" s="14">
        <f t="shared" si="0"/>
        <v>0.32898992833716567</v>
      </c>
      <c r="D10" s="15">
        <f t="shared" si="0"/>
        <v>0.17860619515673043</v>
      </c>
    </row>
    <row r="11" spans="1:6" x14ac:dyDescent="0.25">
      <c r="A11">
        <v>-630</v>
      </c>
      <c r="B11" s="13">
        <f t="shared" si="0"/>
        <v>1</v>
      </c>
      <c r="C11" s="14">
        <f t="shared" si="0"/>
        <v>0.25000000000000011</v>
      </c>
      <c r="D11" s="15">
        <f t="shared" si="0"/>
        <v>0.25000000000000033</v>
      </c>
    </row>
    <row r="12" spans="1:6" x14ac:dyDescent="0.25">
      <c r="A12">
        <v>-620</v>
      </c>
      <c r="B12" s="13">
        <f t="shared" si="0"/>
        <v>0.99240387650610407</v>
      </c>
      <c r="C12" s="14">
        <f t="shared" si="0"/>
        <v>0.17860619515672982</v>
      </c>
      <c r="D12" s="15">
        <f t="shared" si="0"/>
        <v>0.32898992833716556</v>
      </c>
    </row>
    <row r="13" spans="1:6" x14ac:dyDescent="0.25">
      <c r="A13">
        <v>-610</v>
      </c>
      <c r="B13" s="13">
        <f t="shared" si="0"/>
        <v>0.96984631039295421</v>
      </c>
      <c r="C13" s="14">
        <f t="shared" si="0"/>
        <v>0.1169777784405106</v>
      </c>
      <c r="D13" s="15">
        <f t="shared" si="0"/>
        <v>0.41317591116653507</v>
      </c>
    </row>
    <row r="14" spans="1:6" x14ac:dyDescent="0.25">
      <c r="A14">
        <v>-600</v>
      </c>
      <c r="B14" s="13">
        <f t="shared" si="0"/>
        <v>0.93301270189221941</v>
      </c>
      <c r="C14" s="14">
        <f t="shared" si="0"/>
        <v>6.6987298107780424E-2</v>
      </c>
      <c r="D14" s="15">
        <f t="shared" si="0"/>
        <v>0.50000000000000011</v>
      </c>
    </row>
    <row r="15" spans="1:6" x14ac:dyDescent="0.25">
      <c r="A15">
        <v>-590</v>
      </c>
      <c r="B15" s="13">
        <f t="shared" si="0"/>
        <v>0.88302222155948917</v>
      </c>
      <c r="C15" s="14">
        <f t="shared" si="0"/>
        <v>3.0153689607045675E-2</v>
      </c>
      <c r="D15" s="15">
        <f t="shared" si="0"/>
        <v>0.5868240888334656</v>
      </c>
    </row>
    <row r="16" spans="1:6" x14ac:dyDescent="0.25">
      <c r="A16">
        <v>-580</v>
      </c>
      <c r="B16" s="13">
        <f t="shared" si="0"/>
        <v>0.82139380484326918</v>
      </c>
      <c r="C16" s="14">
        <f t="shared" si="0"/>
        <v>7.5961234938959343E-3</v>
      </c>
      <c r="D16" s="15">
        <f t="shared" si="0"/>
        <v>0.67101007166283433</v>
      </c>
    </row>
    <row r="17" spans="1:4" x14ac:dyDescent="0.25">
      <c r="A17">
        <v>-570</v>
      </c>
      <c r="B17" s="13">
        <f t="shared" si="0"/>
        <v>0.75000000000000033</v>
      </c>
      <c r="C17" s="14">
        <f t="shared" si="0"/>
        <v>0</v>
      </c>
      <c r="D17" s="15">
        <f t="shared" si="0"/>
        <v>0.75000000000000022</v>
      </c>
    </row>
    <row r="18" spans="1:4" x14ac:dyDescent="0.25">
      <c r="A18">
        <v>-560</v>
      </c>
      <c r="B18" s="13">
        <f t="shared" si="0"/>
        <v>0.671010071662834</v>
      </c>
      <c r="C18" s="14">
        <f t="shared" si="0"/>
        <v>7.5961234938959898E-3</v>
      </c>
      <c r="D18" s="15">
        <f t="shared" si="0"/>
        <v>0.82139380484326985</v>
      </c>
    </row>
    <row r="19" spans="1:4" x14ac:dyDescent="0.25">
      <c r="A19">
        <v>-550</v>
      </c>
      <c r="B19" s="13">
        <f t="shared" si="0"/>
        <v>0.58682408883346493</v>
      </c>
      <c r="C19" s="14">
        <f t="shared" si="0"/>
        <v>3.0153689607045953E-2</v>
      </c>
      <c r="D19" s="15">
        <f t="shared" si="0"/>
        <v>0.88302222155948906</v>
      </c>
    </row>
    <row r="20" spans="1:4" x14ac:dyDescent="0.25">
      <c r="A20">
        <v>-540</v>
      </c>
      <c r="B20" s="13">
        <f t="shared" si="0"/>
        <v>0.49999999999999983</v>
      </c>
      <c r="C20" s="14">
        <f t="shared" si="0"/>
        <v>6.6987298107780591E-2</v>
      </c>
      <c r="D20" s="15">
        <f t="shared" si="0"/>
        <v>0.9330127018922193</v>
      </c>
    </row>
    <row r="21" spans="1:4" x14ac:dyDescent="0.25">
      <c r="A21">
        <v>-530</v>
      </c>
      <c r="B21" s="13">
        <f t="shared" si="0"/>
        <v>0.41317591116653474</v>
      </c>
      <c r="C21" s="14">
        <f t="shared" si="0"/>
        <v>0.1169777784405111</v>
      </c>
      <c r="D21" s="15">
        <f t="shared" si="0"/>
        <v>0.96984631039295421</v>
      </c>
    </row>
    <row r="22" spans="1:4" x14ac:dyDescent="0.25">
      <c r="A22">
        <v>-520</v>
      </c>
      <c r="B22" s="13">
        <f t="shared" si="0"/>
        <v>0.32898992833716567</v>
      </c>
      <c r="C22" s="14">
        <f t="shared" si="0"/>
        <v>0.17860619515673043</v>
      </c>
      <c r="D22" s="15">
        <f t="shared" si="0"/>
        <v>0.99240387650610407</v>
      </c>
    </row>
    <row r="23" spans="1:4" x14ac:dyDescent="0.25">
      <c r="A23">
        <v>-510</v>
      </c>
      <c r="B23" s="13">
        <f t="shared" si="0"/>
        <v>0.25000000000000011</v>
      </c>
      <c r="C23" s="14">
        <f t="shared" si="0"/>
        <v>0.25000000000000033</v>
      </c>
      <c r="D23" s="15">
        <f t="shared" si="0"/>
        <v>1</v>
      </c>
    </row>
    <row r="24" spans="1:4" x14ac:dyDescent="0.25">
      <c r="A24">
        <v>-500</v>
      </c>
      <c r="B24" s="13">
        <f t="shared" si="0"/>
        <v>0.17860619515672982</v>
      </c>
      <c r="C24" s="14">
        <f t="shared" si="0"/>
        <v>0.32898992833716556</v>
      </c>
      <c r="D24" s="15">
        <f t="shared" si="0"/>
        <v>0.99240387650610407</v>
      </c>
    </row>
    <row r="25" spans="1:4" x14ac:dyDescent="0.25">
      <c r="A25">
        <v>-490</v>
      </c>
      <c r="B25" s="13">
        <f t="shared" si="0"/>
        <v>0.1169777784405106</v>
      </c>
      <c r="C25" s="14">
        <f t="shared" si="0"/>
        <v>0.41317591116653507</v>
      </c>
      <c r="D25" s="15">
        <f t="shared" si="0"/>
        <v>0.9698463103929541</v>
      </c>
    </row>
    <row r="26" spans="1:4" x14ac:dyDescent="0.25">
      <c r="A26">
        <v>-480</v>
      </c>
      <c r="B26" s="13">
        <f t="shared" si="0"/>
        <v>6.6987298107780424E-2</v>
      </c>
      <c r="C26" s="14">
        <f t="shared" si="0"/>
        <v>0.50000000000000011</v>
      </c>
      <c r="D26" s="15">
        <f t="shared" si="0"/>
        <v>0.93301270189221919</v>
      </c>
    </row>
    <row r="27" spans="1:4" x14ac:dyDescent="0.25">
      <c r="A27">
        <v>-470</v>
      </c>
      <c r="B27" s="13">
        <f t="shared" si="0"/>
        <v>3.0153689607045675E-2</v>
      </c>
      <c r="C27" s="14">
        <f t="shared" si="0"/>
        <v>0.5868240888334656</v>
      </c>
      <c r="D27" s="15">
        <f t="shared" si="0"/>
        <v>0.88302222155948895</v>
      </c>
    </row>
    <row r="28" spans="1:4" x14ac:dyDescent="0.25">
      <c r="A28">
        <v>-460</v>
      </c>
      <c r="B28" s="13">
        <f t="shared" si="0"/>
        <v>7.5961234938959343E-3</v>
      </c>
      <c r="C28" s="14">
        <f t="shared" si="0"/>
        <v>0.67101007166283433</v>
      </c>
      <c r="D28" s="15">
        <f t="shared" si="0"/>
        <v>0.82139380484326963</v>
      </c>
    </row>
    <row r="29" spans="1:4" x14ac:dyDescent="0.25">
      <c r="A29">
        <v>-450</v>
      </c>
      <c r="B29" s="13">
        <f t="shared" si="0"/>
        <v>0</v>
      </c>
      <c r="C29" s="14">
        <f t="shared" si="0"/>
        <v>0.75000000000000022</v>
      </c>
      <c r="D29" s="15">
        <f t="shared" si="0"/>
        <v>0.75</v>
      </c>
    </row>
    <row r="30" spans="1:4" x14ac:dyDescent="0.25">
      <c r="A30">
        <v>-440</v>
      </c>
      <c r="B30" s="13">
        <f t="shared" si="0"/>
        <v>7.5961234938959898E-3</v>
      </c>
      <c r="C30" s="14">
        <f t="shared" si="0"/>
        <v>0.82139380484326985</v>
      </c>
      <c r="D30" s="15">
        <f t="shared" si="0"/>
        <v>0.67101007166283433</v>
      </c>
    </row>
    <row r="31" spans="1:4" x14ac:dyDescent="0.25">
      <c r="A31">
        <v>-430</v>
      </c>
      <c r="B31" s="13">
        <f t="shared" si="0"/>
        <v>3.0153689607045953E-2</v>
      </c>
      <c r="C31" s="14">
        <f t="shared" si="0"/>
        <v>0.88302222155948906</v>
      </c>
      <c r="D31" s="15">
        <f t="shared" si="0"/>
        <v>0.58682408883346526</v>
      </c>
    </row>
    <row r="32" spans="1:4" x14ac:dyDescent="0.25">
      <c r="A32">
        <v>-420</v>
      </c>
      <c r="B32" s="13">
        <f t="shared" si="0"/>
        <v>6.6987298107780591E-2</v>
      </c>
      <c r="C32" s="14">
        <f t="shared" si="0"/>
        <v>0.9330127018922193</v>
      </c>
      <c r="D32" s="15">
        <f t="shared" si="0"/>
        <v>0.49999999999999994</v>
      </c>
    </row>
    <row r="33" spans="1:4" x14ac:dyDescent="0.25">
      <c r="A33">
        <v>-410</v>
      </c>
      <c r="B33" s="13">
        <f t="shared" si="0"/>
        <v>0.1169777784405111</v>
      </c>
      <c r="C33" s="14">
        <f t="shared" si="0"/>
        <v>0.96984631039295421</v>
      </c>
      <c r="D33" s="15">
        <f t="shared" si="0"/>
        <v>0.41317591116653485</v>
      </c>
    </row>
    <row r="34" spans="1:4" x14ac:dyDescent="0.25">
      <c r="A34">
        <v>-400</v>
      </c>
      <c r="B34" s="13">
        <f t="shared" ref="B34:D73" si="1">(SIN(($A34+B$1)*PI()/180)+$F$1)*$F$2</f>
        <v>0.17860619515673043</v>
      </c>
      <c r="C34" s="14">
        <f t="shared" si="1"/>
        <v>0.99240387650610407</v>
      </c>
      <c r="D34" s="15">
        <f t="shared" si="1"/>
        <v>0.32898992833716556</v>
      </c>
    </row>
    <row r="35" spans="1:4" x14ac:dyDescent="0.25">
      <c r="A35">
        <v>-390</v>
      </c>
      <c r="B35" s="13">
        <f t="shared" si="1"/>
        <v>0.25000000000000033</v>
      </c>
      <c r="C35" s="14">
        <f t="shared" si="1"/>
        <v>1</v>
      </c>
      <c r="D35" s="15">
        <f t="shared" si="1"/>
        <v>0.25</v>
      </c>
    </row>
    <row r="36" spans="1:4" x14ac:dyDescent="0.25">
      <c r="A36">
        <v>-380</v>
      </c>
      <c r="B36" s="13">
        <f t="shared" si="1"/>
        <v>0.32898992833716556</v>
      </c>
      <c r="C36" s="14">
        <f t="shared" si="1"/>
        <v>0.99240387650610407</v>
      </c>
      <c r="D36" s="15">
        <f t="shared" si="1"/>
        <v>0.17860619515673026</v>
      </c>
    </row>
    <row r="37" spans="1:4" x14ac:dyDescent="0.25">
      <c r="A37">
        <v>-370</v>
      </c>
      <c r="B37" s="13">
        <f t="shared" si="1"/>
        <v>0.41317591116653507</v>
      </c>
      <c r="C37" s="14">
        <f t="shared" si="1"/>
        <v>0.9698463103929541</v>
      </c>
      <c r="D37" s="15">
        <f t="shared" si="1"/>
        <v>0.11697777844051099</v>
      </c>
    </row>
    <row r="38" spans="1:4" x14ac:dyDescent="0.25">
      <c r="A38">
        <v>-360</v>
      </c>
      <c r="B38" s="13">
        <f t="shared" si="1"/>
        <v>0.50000000000000011</v>
      </c>
      <c r="C38" s="14">
        <f t="shared" si="1"/>
        <v>0.93301270189221919</v>
      </c>
      <c r="D38" s="15">
        <f t="shared" si="1"/>
        <v>6.6987298107780646E-2</v>
      </c>
    </row>
    <row r="39" spans="1:4" x14ac:dyDescent="0.25">
      <c r="A39">
        <v>-350</v>
      </c>
      <c r="B39" s="13">
        <f t="shared" si="1"/>
        <v>0.5868240888334656</v>
      </c>
      <c r="C39" s="14">
        <f t="shared" si="1"/>
        <v>0.88302222155948895</v>
      </c>
      <c r="D39" s="15">
        <f t="shared" si="1"/>
        <v>3.0153689607045786E-2</v>
      </c>
    </row>
    <row r="40" spans="1:4" x14ac:dyDescent="0.25">
      <c r="A40">
        <v>-340</v>
      </c>
      <c r="B40" s="13">
        <f t="shared" si="1"/>
        <v>0.67101007166283433</v>
      </c>
      <c r="C40" s="14">
        <f t="shared" si="1"/>
        <v>0.82139380484326963</v>
      </c>
      <c r="D40" s="15">
        <f t="shared" si="1"/>
        <v>7.5961234938959898E-3</v>
      </c>
    </row>
    <row r="41" spans="1:4" x14ac:dyDescent="0.25">
      <c r="A41">
        <v>-330</v>
      </c>
      <c r="B41" s="13">
        <f t="shared" si="1"/>
        <v>0.75000000000000022</v>
      </c>
      <c r="C41" s="14">
        <f t="shared" si="1"/>
        <v>0.75</v>
      </c>
      <c r="D41" s="15">
        <f t="shared" si="1"/>
        <v>0</v>
      </c>
    </row>
    <row r="42" spans="1:4" x14ac:dyDescent="0.25">
      <c r="A42">
        <v>-320</v>
      </c>
      <c r="B42" s="13">
        <f t="shared" si="1"/>
        <v>0.82139380484326985</v>
      </c>
      <c r="C42" s="14">
        <f t="shared" si="1"/>
        <v>0.67101007166283433</v>
      </c>
      <c r="D42" s="15">
        <f t="shared" si="1"/>
        <v>7.5961234938959898E-3</v>
      </c>
    </row>
    <row r="43" spans="1:4" x14ac:dyDescent="0.25">
      <c r="A43">
        <v>-310</v>
      </c>
      <c r="B43" s="13">
        <f t="shared" si="1"/>
        <v>0.88302222155948906</v>
      </c>
      <c r="C43" s="14">
        <f t="shared" si="1"/>
        <v>0.58682408883346526</v>
      </c>
      <c r="D43" s="15">
        <f t="shared" si="1"/>
        <v>3.0153689607045842E-2</v>
      </c>
    </row>
    <row r="44" spans="1:4" x14ac:dyDescent="0.25">
      <c r="A44">
        <v>-300</v>
      </c>
      <c r="B44" s="13">
        <f t="shared" si="1"/>
        <v>0.9330127018922193</v>
      </c>
      <c r="C44" s="14">
        <f t="shared" si="1"/>
        <v>0.49999999999999994</v>
      </c>
      <c r="D44" s="15">
        <f t="shared" si="1"/>
        <v>6.6987298107780702E-2</v>
      </c>
    </row>
    <row r="45" spans="1:4" x14ac:dyDescent="0.25">
      <c r="A45">
        <v>-290</v>
      </c>
      <c r="B45" s="13">
        <f t="shared" si="1"/>
        <v>0.96984631039295421</v>
      </c>
      <c r="C45" s="14">
        <f t="shared" si="1"/>
        <v>0.41317591116653485</v>
      </c>
      <c r="D45" s="15">
        <f t="shared" si="1"/>
        <v>0.11697777844051099</v>
      </c>
    </row>
    <row r="46" spans="1:4" x14ac:dyDescent="0.25">
      <c r="A46">
        <v>-280</v>
      </c>
      <c r="B46" s="13">
        <f t="shared" si="1"/>
        <v>0.99240387650610407</v>
      </c>
      <c r="C46" s="14">
        <f t="shared" si="1"/>
        <v>0.32898992833716556</v>
      </c>
      <c r="D46" s="15">
        <f t="shared" si="1"/>
        <v>0.17860619515673037</v>
      </c>
    </row>
    <row r="47" spans="1:4" x14ac:dyDescent="0.25">
      <c r="A47">
        <v>-270</v>
      </c>
      <c r="B47" s="13">
        <f t="shared" si="1"/>
        <v>1</v>
      </c>
      <c r="C47" s="14">
        <f t="shared" si="1"/>
        <v>0.25</v>
      </c>
      <c r="D47" s="15">
        <f t="shared" si="1"/>
        <v>0.25</v>
      </c>
    </row>
    <row r="48" spans="1:4" x14ac:dyDescent="0.25">
      <c r="A48">
        <v>-260</v>
      </c>
      <c r="B48" s="13">
        <f t="shared" si="1"/>
        <v>0.99240387650610407</v>
      </c>
      <c r="C48" s="14">
        <f t="shared" si="1"/>
        <v>0.17860619515673026</v>
      </c>
      <c r="D48" s="15">
        <f t="shared" si="1"/>
        <v>0.32898992833716567</v>
      </c>
    </row>
    <row r="49" spans="1:4" x14ac:dyDescent="0.25">
      <c r="A49">
        <v>-250</v>
      </c>
      <c r="B49" s="13">
        <f t="shared" si="1"/>
        <v>0.9698463103929541</v>
      </c>
      <c r="C49" s="14">
        <f t="shared" si="1"/>
        <v>0.11697777844051099</v>
      </c>
      <c r="D49" s="15">
        <f t="shared" si="1"/>
        <v>0.41317591116653485</v>
      </c>
    </row>
    <row r="50" spans="1:4" x14ac:dyDescent="0.25">
      <c r="A50">
        <v>-240</v>
      </c>
      <c r="B50" s="13">
        <f t="shared" si="1"/>
        <v>0.93301270189221919</v>
      </c>
      <c r="C50" s="14">
        <f t="shared" si="1"/>
        <v>6.6987298107780646E-2</v>
      </c>
      <c r="D50" s="15">
        <f t="shared" si="1"/>
        <v>0.5</v>
      </c>
    </row>
    <row r="51" spans="1:4" x14ac:dyDescent="0.25">
      <c r="A51">
        <v>-230</v>
      </c>
      <c r="B51" s="13">
        <f t="shared" si="1"/>
        <v>0.88302222155948895</v>
      </c>
      <c r="C51" s="14">
        <f t="shared" si="1"/>
        <v>3.0153689607045786E-2</v>
      </c>
      <c r="D51" s="15">
        <f t="shared" si="1"/>
        <v>0.58682408883346515</v>
      </c>
    </row>
    <row r="52" spans="1:4" x14ac:dyDescent="0.25">
      <c r="A52">
        <v>-220</v>
      </c>
      <c r="B52" s="13">
        <f t="shared" si="1"/>
        <v>0.82139380484326963</v>
      </c>
      <c r="C52" s="14">
        <f t="shared" si="1"/>
        <v>7.5961234938959898E-3</v>
      </c>
      <c r="D52" s="15">
        <f t="shared" si="1"/>
        <v>0.67101007166283433</v>
      </c>
    </row>
    <row r="53" spans="1:4" x14ac:dyDescent="0.25">
      <c r="A53">
        <v>-210</v>
      </c>
      <c r="B53" s="13">
        <f t="shared" si="1"/>
        <v>0.75</v>
      </c>
      <c r="C53" s="14">
        <f t="shared" si="1"/>
        <v>0</v>
      </c>
      <c r="D53" s="15">
        <f t="shared" si="1"/>
        <v>0.75</v>
      </c>
    </row>
    <row r="54" spans="1:4" x14ac:dyDescent="0.25">
      <c r="A54">
        <v>-200</v>
      </c>
      <c r="B54" s="13">
        <f t="shared" si="1"/>
        <v>0.67101007166283433</v>
      </c>
      <c r="C54" s="14">
        <f t="shared" si="1"/>
        <v>7.5961234938959898E-3</v>
      </c>
      <c r="D54" s="15">
        <f t="shared" si="1"/>
        <v>0.82139380484326963</v>
      </c>
    </row>
    <row r="55" spans="1:4" x14ac:dyDescent="0.25">
      <c r="A55">
        <v>-190</v>
      </c>
      <c r="B55" s="13">
        <f t="shared" si="1"/>
        <v>0.58682408883346526</v>
      </c>
      <c r="C55" s="14">
        <f t="shared" si="1"/>
        <v>3.0153689607045842E-2</v>
      </c>
      <c r="D55" s="15">
        <f t="shared" si="1"/>
        <v>0.88302222155948895</v>
      </c>
    </row>
    <row r="56" spans="1:4" x14ac:dyDescent="0.25">
      <c r="A56">
        <v>-180</v>
      </c>
      <c r="B56" s="13">
        <f t="shared" si="1"/>
        <v>0.49999999999999994</v>
      </c>
      <c r="C56" s="14">
        <f t="shared" si="1"/>
        <v>6.6987298107780702E-2</v>
      </c>
      <c r="D56" s="15">
        <f t="shared" si="1"/>
        <v>0.9330127018922193</v>
      </c>
    </row>
    <row r="57" spans="1:4" x14ac:dyDescent="0.25">
      <c r="A57">
        <v>-170</v>
      </c>
      <c r="B57" s="13">
        <f t="shared" si="1"/>
        <v>0.41317591116653485</v>
      </c>
      <c r="C57" s="14">
        <f t="shared" si="1"/>
        <v>0.11697777844051099</v>
      </c>
      <c r="D57" s="15">
        <f t="shared" si="1"/>
        <v>0.96984631039295421</v>
      </c>
    </row>
    <row r="58" spans="1:4" x14ac:dyDescent="0.25">
      <c r="A58">
        <v>-160</v>
      </c>
      <c r="B58" s="13">
        <f t="shared" si="1"/>
        <v>0.32898992833716556</v>
      </c>
      <c r="C58" s="14">
        <f t="shared" si="1"/>
        <v>0.17860619515673037</v>
      </c>
      <c r="D58" s="15">
        <f t="shared" si="1"/>
        <v>0.99240387650610407</v>
      </c>
    </row>
    <row r="59" spans="1:4" x14ac:dyDescent="0.25">
      <c r="A59">
        <v>-150</v>
      </c>
      <c r="B59" s="13">
        <f t="shared" si="1"/>
        <v>0.25</v>
      </c>
      <c r="C59" s="14">
        <f t="shared" si="1"/>
        <v>0.25</v>
      </c>
      <c r="D59" s="15">
        <f t="shared" si="1"/>
        <v>1</v>
      </c>
    </row>
    <row r="60" spans="1:4" x14ac:dyDescent="0.25">
      <c r="A60">
        <v>-140</v>
      </c>
      <c r="B60" s="13">
        <f t="shared" si="1"/>
        <v>0.17860619515673026</v>
      </c>
      <c r="C60" s="14">
        <f t="shared" si="1"/>
        <v>0.32898992833716567</v>
      </c>
      <c r="D60" s="15">
        <f t="shared" si="1"/>
        <v>0.99240387650610407</v>
      </c>
    </row>
    <row r="61" spans="1:4" x14ac:dyDescent="0.25">
      <c r="A61">
        <v>-130</v>
      </c>
      <c r="B61" s="13">
        <f t="shared" si="1"/>
        <v>0.11697777844051099</v>
      </c>
      <c r="C61" s="14">
        <f t="shared" si="1"/>
        <v>0.41317591116653485</v>
      </c>
      <c r="D61" s="15">
        <f t="shared" si="1"/>
        <v>0.96984631039295421</v>
      </c>
    </row>
    <row r="62" spans="1:4" x14ac:dyDescent="0.25">
      <c r="A62">
        <v>-120</v>
      </c>
      <c r="B62" s="13">
        <f t="shared" si="1"/>
        <v>6.6987298107780646E-2</v>
      </c>
      <c r="C62" s="14">
        <f t="shared" si="1"/>
        <v>0.5</v>
      </c>
      <c r="D62" s="15">
        <f t="shared" si="1"/>
        <v>0.93301270189221941</v>
      </c>
    </row>
    <row r="63" spans="1:4" x14ac:dyDescent="0.25">
      <c r="A63">
        <v>-110</v>
      </c>
      <c r="B63" s="13">
        <f t="shared" si="1"/>
        <v>3.0153689607045786E-2</v>
      </c>
      <c r="C63" s="14">
        <f t="shared" si="1"/>
        <v>0.58682408883346515</v>
      </c>
      <c r="D63" s="15">
        <f t="shared" si="1"/>
        <v>0.88302222155948895</v>
      </c>
    </row>
    <row r="64" spans="1:4" x14ac:dyDescent="0.25">
      <c r="A64">
        <v>-100</v>
      </c>
      <c r="B64" s="13">
        <f t="shared" si="1"/>
        <v>7.5961234938959898E-3</v>
      </c>
      <c r="C64" s="14">
        <f t="shared" si="1"/>
        <v>0.67101007166283433</v>
      </c>
      <c r="D64" s="15">
        <f t="shared" si="1"/>
        <v>0.82139380484326974</v>
      </c>
    </row>
    <row r="65" spans="1:4" x14ac:dyDescent="0.25">
      <c r="A65">
        <v>-90</v>
      </c>
      <c r="B65" s="13">
        <f t="shared" si="1"/>
        <v>0</v>
      </c>
      <c r="C65" s="14">
        <f t="shared" si="1"/>
        <v>0.75</v>
      </c>
      <c r="D65" s="15">
        <f t="shared" si="1"/>
        <v>0.75</v>
      </c>
    </row>
    <row r="66" spans="1:4" x14ac:dyDescent="0.25">
      <c r="A66">
        <v>-80</v>
      </c>
      <c r="B66" s="13">
        <f t="shared" si="1"/>
        <v>7.5961234938959898E-3</v>
      </c>
      <c r="C66" s="14">
        <f t="shared" si="1"/>
        <v>0.82139380484326963</v>
      </c>
      <c r="D66" s="15">
        <f t="shared" si="1"/>
        <v>0.67101007166283444</v>
      </c>
    </row>
    <row r="67" spans="1:4" x14ac:dyDescent="0.25">
      <c r="A67">
        <v>-70</v>
      </c>
      <c r="B67" s="13">
        <f t="shared" si="1"/>
        <v>3.0153689607045842E-2</v>
      </c>
      <c r="C67" s="14">
        <f t="shared" si="1"/>
        <v>0.88302222155948895</v>
      </c>
      <c r="D67" s="15">
        <f t="shared" si="1"/>
        <v>0.58682408883346515</v>
      </c>
    </row>
    <row r="68" spans="1:4" x14ac:dyDescent="0.25">
      <c r="A68">
        <v>-60</v>
      </c>
      <c r="B68" s="13">
        <f t="shared" si="1"/>
        <v>6.6987298107780702E-2</v>
      </c>
      <c r="C68" s="14">
        <f t="shared" si="1"/>
        <v>0.9330127018922193</v>
      </c>
      <c r="D68" s="15">
        <f t="shared" si="1"/>
        <v>0.50000000000000011</v>
      </c>
    </row>
    <row r="69" spans="1:4" x14ac:dyDescent="0.25">
      <c r="A69">
        <v>-50</v>
      </c>
      <c r="B69" s="13">
        <f t="shared" si="1"/>
        <v>0.11697777844051099</v>
      </c>
      <c r="C69" s="14">
        <f t="shared" si="1"/>
        <v>0.96984631039295421</v>
      </c>
      <c r="D69" s="15">
        <f t="shared" si="1"/>
        <v>0.41317591116653474</v>
      </c>
    </row>
    <row r="70" spans="1:4" x14ac:dyDescent="0.25">
      <c r="A70">
        <v>-40</v>
      </c>
      <c r="B70" s="13">
        <f t="shared" si="1"/>
        <v>0.17860619515673037</v>
      </c>
      <c r="C70" s="14">
        <f t="shared" si="1"/>
        <v>0.99240387650610407</v>
      </c>
      <c r="D70" s="15">
        <f t="shared" si="1"/>
        <v>0.32898992833716567</v>
      </c>
    </row>
    <row r="71" spans="1:4" x14ac:dyDescent="0.25">
      <c r="A71">
        <v>-30</v>
      </c>
      <c r="B71" s="13">
        <f t="shared" si="1"/>
        <v>0.25</v>
      </c>
      <c r="C71" s="14">
        <f t="shared" si="1"/>
        <v>1</v>
      </c>
      <c r="D71" s="15">
        <f t="shared" si="1"/>
        <v>0.24999999999999994</v>
      </c>
    </row>
    <row r="72" spans="1:4" x14ac:dyDescent="0.25">
      <c r="A72">
        <v>-20</v>
      </c>
      <c r="B72" s="13">
        <f t="shared" si="1"/>
        <v>0.32898992833716567</v>
      </c>
      <c r="C72" s="14">
        <f t="shared" si="1"/>
        <v>0.99240387650610407</v>
      </c>
      <c r="D72" s="15">
        <f t="shared" si="1"/>
        <v>0.17860619515673037</v>
      </c>
    </row>
    <row r="73" spans="1:4" x14ac:dyDescent="0.25">
      <c r="A73">
        <v>-10</v>
      </c>
      <c r="B73" s="13">
        <f t="shared" si="1"/>
        <v>0.41317591116653485</v>
      </c>
      <c r="C73" s="14">
        <f t="shared" si="1"/>
        <v>0.96984631039295421</v>
      </c>
      <c r="D73" s="15">
        <f t="shared" si="1"/>
        <v>0.11697777844051105</v>
      </c>
    </row>
    <row r="74" spans="1:4" x14ac:dyDescent="0.25">
      <c r="A74">
        <v>0</v>
      </c>
      <c r="B74" s="13">
        <f t="shared" ref="B74:D93" si="2">(SIN(($A74+B$1)*PI()/180)+$F$1)*$F$2</f>
        <v>0.5</v>
      </c>
      <c r="C74" s="14">
        <f t="shared" si="2"/>
        <v>0.93301270189221941</v>
      </c>
      <c r="D74" s="15">
        <f t="shared" si="2"/>
        <v>6.6987298107780813E-2</v>
      </c>
    </row>
    <row r="75" spans="1:4" x14ac:dyDescent="0.25">
      <c r="A75">
        <v>10</v>
      </c>
      <c r="B75" s="13">
        <f t="shared" si="2"/>
        <v>0.58682408883346515</v>
      </c>
      <c r="C75" s="14">
        <f t="shared" si="2"/>
        <v>0.88302222155948895</v>
      </c>
      <c r="D75" s="15">
        <f t="shared" si="2"/>
        <v>3.0153689607045897E-2</v>
      </c>
    </row>
    <row r="76" spans="1:4" x14ac:dyDescent="0.25">
      <c r="A76">
        <v>20</v>
      </c>
      <c r="B76" s="13">
        <f t="shared" si="2"/>
        <v>0.67101007166283433</v>
      </c>
      <c r="C76" s="14">
        <f t="shared" si="2"/>
        <v>0.82139380484326974</v>
      </c>
      <c r="D76" s="15">
        <f t="shared" si="2"/>
        <v>7.5961234938959898E-3</v>
      </c>
    </row>
    <row r="77" spans="1:4" x14ac:dyDescent="0.25">
      <c r="A77">
        <v>30</v>
      </c>
      <c r="B77" s="13">
        <f t="shared" si="2"/>
        <v>0.75</v>
      </c>
      <c r="C77" s="14">
        <f t="shared" si="2"/>
        <v>0.75</v>
      </c>
      <c r="D77" s="15">
        <f t="shared" si="2"/>
        <v>0</v>
      </c>
    </row>
    <row r="78" spans="1:4" x14ac:dyDescent="0.25">
      <c r="A78">
        <v>40</v>
      </c>
      <c r="B78" s="13">
        <f t="shared" si="2"/>
        <v>0.82139380484326963</v>
      </c>
      <c r="C78" s="14">
        <f t="shared" si="2"/>
        <v>0.67101007166283444</v>
      </c>
      <c r="D78" s="15">
        <f t="shared" si="2"/>
        <v>7.5961234938959343E-3</v>
      </c>
    </row>
    <row r="79" spans="1:4" x14ac:dyDescent="0.25">
      <c r="A79">
        <v>50</v>
      </c>
      <c r="B79" s="13">
        <f t="shared" si="2"/>
        <v>0.88302222155948895</v>
      </c>
      <c r="C79" s="14">
        <f t="shared" si="2"/>
        <v>0.58682408883346515</v>
      </c>
      <c r="D79" s="15">
        <f t="shared" si="2"/>
        <v>3.0153689607045731E-2</v>
      </c>
    </row>
    <row r="80" spans="1:4" x14ac:dyDescent="0.25">
      <c r="A80">
        <v>60</v>
      </c>
      <c r="B80" s="13">
        <f t="shared" si="2"/>
        <v>0.9330127018922193</v>
      </c>
      <c r="C80" s="14">
        <f t="shared" si="2"/>
        <v>0.50000000000000011</v>
      </c>
      <c r="D80" s="15">
        <f t="shared" si="2"/>
        <v>6.6987298107780702E-2</v>
      </c>
    </row>
    <row r="81" spans="1:4" x14ac:dyDescent="0.25">
      <c r="A81">
        <v>70</v>
      </c>
      <c r="B81" s="13">
        <f t="shared" si="2"/>
        <v>0.96984631039295421</v>
      </c>
      <c r="C81" s="14">
        <f t="shared" si="2"/>
        <v>0.41317591116653474</v>
      </c>
      <c r="D81" s="15">
        <f t="shared" si="2"/>
        <v>0.11697777844051094</v>
      </c>
    </row>
    <row r="82" spans="1:4" x14ac:dyDescent="0.25">
      <c r="A82">
        <v>80</v>
      </c>
      <c r="B82" s="13">
        <f t="shared" si="2"/>
        <v>0.99240387650610407</v>
      </c>
      <c r="C82" s="14">
        <f t="shared" si="2"/>
        <v>0.32898992833716567</v>
      </c>
      <c r="D82" s="15">
        <f t="shared" si="2"/>
        <v>0.17860619515673021</v>
      </c>
    </row>
    <row r="83" spans="1:4" x14ac:dyDescent="0.25">
      <c r="A83">
        <v>90</v>
      </c>
      <c r="B83" s="13">
        <f t="shared" si="2"/>
        <v>1</v>
      </c>
      <c r="C83" s="14">
        <f t="shared" si="2"/>
        <v>0.24999999999999994</v>
      </c>
      <c r="D83" s="15">
        <f t="shared" si="2"/>
        <v>0.24999999999999978</v>
      </c>
    </row>
    <row r="84" spans="1:4" x14ac:dyDescent="0.25">
      <c r="A84">
        <v>100</v>
      </c>
      <c r="B84" s="13">
        <f t="shared" si="2"/>
        <v>0.99240387650610407</v>
      </c>
      <c r="C84" s="14">
        <f t="shared" si="2"/>
        <v>0.17860619515673037</v>
      </c>
      <c r="D84" s="15">
        <f t="shared" si="2"/>
        <v>0.32898992833716567</v>
      </c>
    </row>
    <row r="85" spans="1:4" x14ac:dyDescent="0.25">
      <c r="A85">
        <v>110</v>
      </c>
      <c r="B85" s="13">
        <f t="shared" si="2"/>
        <v>0.96984631039295421</v>
      </c>
      <c r="C85" s="14">
        <f t="shared" si="2"/>
        <v>0.11697777844051105</v>
      </c>
      <c r="D85" s="15">
        <f t="shared" si="2"/>
        <v>0.41317591116653435</v>
      </c>
    </row>
    <row r="86" spans="1:4" x14ac:dyDescent="0.25">
      <c r="A86">
        <v>120</v>
      </c>
      <c r="B86" s="13">
        <f t="shared" si="2"/>
        <v>0.93301270189221941</v>
      </c>
      <c r="C86" s="14">
        <f t="shared" si="2"/>
        <v>6.6987298107780813E-2</v>
      </c>
      <c r="D86" s="15">
        <f t="shared" si="2"/>
        <v>0.49999999999999989</v>
      </c>
    </row>
    <row r="87" spans="1:4" x14ac:dyDescent="0.25">
      <c r="A87">
        <v>130</v>
      </c>
      <c r="B87" s="13">
        <f t="shared" si="2"/>
        <v>0.88302222155948895</v>
      </c>
      <c r="C87" s="14">
        <f t="shared" si="2"/>
        <v>3.0153689607045897E-2</v>
      </c>
      <c r="D87" s="15">
        <f t="shared" si="2"/>
        <v>0.58682408883346493</v>
      </c>
    </row>
    <row r="88" spans="1:4" x14ac:dyDescent="0.25">
      <c r="A88">
        <v>140</v>
      </c>
      <c r="B88" s="13">
        <f t="shared" si="2"/>
        <v>0.82139380484326974</v>
      </c>
      <c r="C88" s="14">
        <f t="shared" si="2"/>
        <v>7.5961234938959898E-3</v>
      </c>
      <c r="D88" s="15">
        <f t="shared" si="2"/>
        <v>0.67101007166283444</v>
      </c>
    </row>
    <row r="89" spans="1:4" x14ac:dyDescent="0.25">
      <c r="A89">
        <v>150</v>
      </c>
      <c r="B89" s="13">
        <f t="shared" si="2"/>
        <v>0.75</v>
      </c>
      <c r="C89" s="14">
        <f t="shared" si="2"/>
        <v>0</v>
      </c>
      <c r="D89" s="15">
        <f t="shared" si="2"/>
        <v>0.74999999999999967</v>
      </c>
    </row>
    <row r="90" spans="1:4" x14ac:dyDescent="0.25">
      <c r="A90">
        <v>160</v>
      </c>
      <c r="B90" s="13">
        <f t="shared" si="2"/>
        <v>0.67101007166283444</v>
      </c>
      <c r="C90" s="14">
        <f t="shared" si="2"/>
        <v>7.5961234938959343E-3</v>
      </c>
      <c r="D90" s="15">
        <f t="shared" si="2"/>
        <v>0.82139380484326963</v>
      </c>
    </row>
    <row r="91" spans="1:4" x14ac:dyDescent="0.25">
      <c r="A91">
        <v>170</v>
      </c>
      <c r="B91" s="13">
        <f t="shared" si="2"/>
        <v>0.58682408883346515</v>
      </c>
      <c r="C91" s="14">
        <f t="shared" si="2"/>
        <v>3.0153689607045731E-2</v>
      </c>
      <c r="D91" s="15">
        <f t="shared" si="2"/>
        <v>0.88302222155948895</v>
      </c>
    </row>
    <row r="92" spans="1:4" x14ac:dyDescent="0.25">
      <c r="A92">
        <v>180</v>
      </c>
      <c r="B92" s="13">
        <f t="shared" si="2"/>
        <v>0.50000000000000011</v>
      </c>
      <c r="C92" s="14">
        <f t="shared" si="2"/>
        <v>6.6987298107780702E-2</v>
      </c>
      <c r="D92" s="15">
        <f t="shared" si="2"/>
        <v>0.93301270189221941</v>
      </c>
    </row>
    <row r="93" spans="1:4" x14ac:dyDescent="0.25">
      <c r="A93">
        <v>190</v>
      </c>
      <c r="B93" s="13">
        <f t="shared" si="2"/>
        <v>0.41317591116653474</v>
      </c>
      <c r="C93" s="14">
        <f t="shared" si="2"/>
        <v>0.11697777844051094</v>
      </c>
      <c r="D93" s="15">
        <f t="shared" si="2"/>
        <v>0.96984631039295399</v>
      </c>
    </row>
    <row r="94" spans="1:4" x14ac:dyDescent="0.25">
      <c r="A94">
        <v>200</v>
      </c>
      <c r="B94" s="13">
        <f t="shared" ref="B94:D113" si="3">(SIN(($A94+B$1)*PI()/180)+$F$1)*$F$2</f>
        <v>0.32898992833716567</v>
      </c>
      <c r="C94" s="14">
        <f t="shared" si="3"/>
        <v>0.17860619515673021</v>
      </c>
      <c r="D94" s="15">
        <f t="shared" si="3"/>
        <v>0.99240387650610407</v>
      </c>
    </row>
    <row r="95" spans="1:4" x14ac:dyDescent="0.25">
      <c r="A95">
        <v>210</v>
      </c>
      <c r="B95" s="13">
        <f t="shared" si="3"/>
        <v>0.24999999999999994</v>
      </c>
      <c r="C95" s="14">
        <f t="shared" si="3"/>
        <v>0.24999999999999978</v>
      </c>
      <c r="D95" s="15">
        <f t="shared" si="3"/>
        <v>1</v>
      </c>
    </row>
    <row r="96" spans="1:4" x14ac:dyDescent="0.25">
      <c r="A96">
        <v>220</v>
      </c>
      <c r="B96" s="13">
        <f t="shared" si="3"/>
        <v>0.17860619515673037</v>
      </c>
      <c r="C96" s="14">
        <f t="shared" si="3"/>
        <v>0.32898992833716567</v>
      </c>
      <c r="D96" s="15">
        <f t="shared" si="3"/>
        <v>0.99240387650610407</v>
      </c>
    </row>
    <row r="97" spans="1:4" x14ac:dyDescent="0.25">
      <c r="A97">
        <v>230</v>
      </c>
      <c r="B97" s="13">
        <f t="shared" si="3"/>
        <v>0.11697777844051105</v>
      </c>
      <c r="C97" s="14">
        <f t="shared" si="3"/>
        <v>0.41317591116653435</v>
      </c>
      <c r="D97" s="15">
        <f t="shared" si="3"/>
        <v>0.96984631039295432</v>
      </c>
    </row>
    <row r="98" spans="1:4" x14ac:dyDescent="0.25">
      <c r="A98">
        <v>240</v>
      </c>
      <c r="B98" s="13">
        <f t="shared" si="3"/>
        <v>6.6987298107780813E-2</v>
      </c>
      <c r="C98" s="14">
        <f t="shared" si="3"/>
        <v>0.49999999999999989</v>
      </c>
      <c r="D98" s="15">
        <f t="shared" si="3"/>
        <v>0.93301270189221963</v>
      </c>
    </row>
    <row r="99" spans="1:4" x14ac:dyDescent="0.25">
      <c r="A99">
        <v>250</v>
      </c>
      <c r="B99" s="13">
        <f t="shared" si="3"/>
        <v>3.0153689607045897E-2</v>
      </c>
      <c r="C99" s="14">
        <f t="shared" si="3"/>
        <v>0.58682408883346493</v>
      </c>
      <c r="D99" s="15">
        <f t="shared" si="3"/>
        <v>0.8830222215594894</v>
      </c>
    </row>
    <row r="100" spans="1:4" x14ac:dyDescent="0.25">
      <c r="A100">
        <v>260</v>
      </c>
      <c r="B100" s="13">
        <f t="shared" si="3"/>
        <v>7.5961234938959898E-3</v>
      </c>
      <c r="C100" s="14">
        <f t="shared" si="3"/>
        <v>0.67101007166283444</v>
      </c>
      <c r="D100" s="15">
        <f t="shared" si="3"/>
        <v>0.82139380484327018</v>
      </c>
    </row>
    <row r="101" spans="1:4" x14ac:dyDescent="0.25">
      <c r="A101">
        <v>270</v>
      </c>
      <c r="B101" s="13">
        <f t="shared" si="3"/>
        <v>0</v>
      </c>
      <c r="C101" s="14">
        <f t="shared" si="3"/>
        <v>0.74999999999999967</v>
      </c>
      <c r="D101" s="15">
        <f t="shared" si="3"/>
        <v>0.74999999999999989</v>
      </c>
    </row>
    <row r="102" spans="1:4" x14ac:dyDescent="0.25">
      <c r="A102">
        <v>280</v>
      </c>
      <c r="B102" s="13">
        <f t="shared" si="3"/>
        <v>7.5961234938959343E-3</v>
      </c>
      <c r="C102" s="14">
        <f t="shared" si="3"/>
        <v>0.82139380484326963</v>
      </c>
      <c r="D102" s="15">
        <f t="shared" si="3"/>
        <v>0.67101007166283433</v>
      </c>
    </row>
    <row r="103" spans="1:4" x14ac:dyDescent="0.25">
      <c r="A103">
        <v>290</v>
      </c>
      <c r="B103" s="13">
        <f t="shared" si="3"/>
        <v>3.0153689607045731E-2</v>
      </c>
      <c r="C103" s="14">
        <f t="shared" si="3"/>
        <v>0.88302222155948895</v>
      </c>
      <c r="D103" s="15">
        <f t="shared" si="3"/>
        <v>0.58682408883346526</v>
      </c>
    </row>
    <row r="104" spans="1:4" x14ac:dyDescent="0.25">
      <c r="A104">
        <v>300</v>
      </c>
      <c r="B104" s="13">
        <f t="shared" si="3"/>
        <v>6.6987298107780702E-2</v>
      </c>
      <c r="C104" s="14">
        <f t="shared" si="3"/>
        <v>0.93301270189221941</v>
      </c>
      <c r="D104" s="15">
        <f t="shared" si="3"/>
        <v>0.50000000000000022</v>
      </c>
    </row>
    <row r="105" spans="1:4" x14ac:dyDescent="0.25">
      <c r="A105">
        <v>310</v>
      </c>
      <c r="B105" s="13">
        <f t="shared" si="3"/>
        <v>0.11697777844051094</v>
      </c>
      <c r="C105" s="14">
        <f t="shared" si="3"/>
        <v>0.96984631039295399</v>
      </c>
      <c r="D105" s="15">
        <f t="shared" si="3"/>
        <v>0.41317591116653513</v>
      </c>
    </row>
    <row r="106" spans="1:4" x14ac:dyDescent="0.25">
      <c r="A106">
        <v>320</v>
      </c>
      <c r="B106" s="13">
        <f t="shared" si="3"/>
        <v>0.17860619515673021</v>
      </c>
      <c r="C106" s="14">
        <f t="shared" si="3"/>
        <v>0.99240387650610407</v>
      </c>
      <c r="D106" s="15">
        <f t="shared" si="3"/>
        <v>0.328989928337166</v>
      </c>
    </row>
    <row r="107" spans="1:4" x14ac:dyDescent="0.25">
      <c r="A107">
        <v>330</v>
      </c>
      <c r="B107" s="13">
        <f t="shared" si="3"/>
        <v>0.24999999999999978</v>
      </c>
      <c r="C107" s="14">
        <f t="shared" si="3"/>
        <v>1</v>
      </c>
      <c r="D107" s="15">
        <f t="shared" si="3"/>
        <v>0.24999999999999967</v>
      </c>
    </row>
    <row r="108" spans="1:4" x14ac:dyDescent="0.25">
      <c r="A108">
        <v>340</v>
      </c>
      <c r="B108" s="13">
        <f t="shared" si="3"/>
        <v>0.32898992833716567</v>
      </c>
      <c r="C108" s="14">
        <f t="shared" si="3"/>
        <v>0.99240387650610407</v>
      </c>
      <c r="D108" s="15">
        <f t="shared" si="3"/>
        <v>0.17860619515673082</v>
      </c>
    </row>
    <row r="109" spans="1:4" x14ac:dyDescent="0.25">
      <c r="A109">
        <v>350</v>
      </c>
      <c r="B109" s="13">
        <f t="shared" si="3"/>
        <v>0.41317591116653435</v>
      </c>
      <c r="C109" s="14">
        <f t="shared" si="3"/>
        <v>0.96984631039295432</v>
      </c>
      <c r="D109" s="15">
        <f t="shared" si="3"/>
        <v>0.11697777844051088</v>
      </c>
    </row>
    <row r="110" spans="1:4" x14ac:dyDescent="0.25">
      <c r="A110">
        <v>360</v>
      </c>
      <c r="B110" s="13">
        <f t="shared" si="3"/>
        <v>0.49999999999999989</v>
      </c>
      <c r="C110" s="14">
        <f t="shared" si="3"/>
        <v>0.93301270189221963</v>
      </c>
      <c r="D110" s="15">
        <f t="shared" si="3"/>
        <v>6.6987298107780646E-2</v>
      </c>
    </row>
    <row r="111" spans="1:4" x14ac:dyDescent="0.25">
      <c r="A111">
        <v>370</v>
      </c>
      <c r="B111" s="13">
        <f t="shared" si="3"/>
        <v>0.58682408883346493</v>
      </c>
      <c r="C111" s="14">
        <f t="shared" si="3"/>
        <v>0.8830222215594894</v>
      </c>
      <c r="D111" s="15">
        <f t="shared" si="3"/>
        <v>3.0153689607045786E-2</v>
      </c>
    </row>
    <row r="112" spans="1:4" x14ac:dyDescent="0.25">
      <c r="A112">
        <v>380</v>
      </c>
      <c r="B112" s="13">
        <f t="shared" si="3"/>
        <v>0.67101007166283444</v>
      </c>
      <c r="C112" s="14">
        <f t="shared" si="3"/>
        <v>0.82139380484327018</v>
      </c>
      <c r="D112" s="15">
        <f t="shared" si="3"/>
        <v>7.5961234938959898E-3</v>
      </c>
    </row>
    <row r="113" spans="1:4" x14ac:dyDescent="0.25">
      <c r="A113">
        <v>390</v>
      </c>
      <c r="B113" s="13">
        <f t="shared" si="3"/>
        <v>0.74999999999999967</v>
      </c>
      <c r="C113" s="14">
        <f t="shared" si="3"/>
        <v>0.74999999999999989</v>
      </c>
      <c r="D113" s="15">
        <f t="shared" si="3"/>
        <v>0</v>
      </c>
    </row>
    <row r="114" spans="1:4" x14ac:dyDescent="0.25">
      <c r="A114">
        <v>400</v>
      </c>
      <c r="B114" s="13">
        <f t="shared" ref="B114:D133" si="4">(SIN(($A114+B$1)*PI()/180)+$F$1)*$F$2</f>
        <v>0.82139380484326963</v>
      </c>
      <c r="C114" s="14">
        <f t="shared" si="4"/>
        <v>0.67101007166283433</v>
      </c>
      <c r="D114" s="15">
        <f t="shared" si="4"/>
        <v>7.5961234938959343E-3</v>
      </c>
    </row>
    <row r="115" spans="1:4" x14ac:dyDescent="0.25">
      <c r="A115">
        <v>410</v>
      </c>
      <c r="B115" s="13">
        <f t="shared" si="4"/>
        <v>0.88302222155948895</v>
      </c>
      <c r="C115" s="14">
        <f t="shared" si="4"/>
        <v>0.58682408883346526</v>
      </c>
      <c r="D115" s="15">
        <f t="shared" si="4"/>
        <v>3.0153689607045675E-2</v>
      </c>
    </row>
    <row r="116" spans="1:4" x14ac:dyDescent="0.25">
      <c r="A116">
        <v>420</v>
      </c>
      <c r="B116" s="13">
        <f t="shared" si="4"/>
        <v>0.93301270189221941</v>
      </c>
      <c r="C116" s="14">
        <f t="shared" si="4"/>
        <v>0.50000000000000022</v>
      </c>
      <c r="D116" s="15">
        <f t="shared" si="4"/>
        <v>6.6987298107780424E-2</v>
      </c>
    </row>
    <row r="117" spans="1:4" x14ac:dyDescent="0.25">
      <c r="A117">
        <v>430</v>
      </c>
      <c r="B117" s="13">
        <f t="shared" si="4"/>
        <v>0.96984631039295399</v>
      </c>
      <c r="C117" s="14">
        <f t="shared" si="4"/>
        <v>0.41317591116653513</v>
      </c>
      <c r="D117" s="15">
        <f t="shared" si="4"/>
        <v>0.1169777784405106</v>
      </c>
    </row>
    <row r="118" spans="1:4" x14ac:dyDescent="0.25">
      <c r="A118">
        <v>440</v>
      </c>
      <c r="B118" s="13">
        <f t="shared" si="4"/>
        <v>0.99240387650610407</v>
      </c>
      <c r="C118" s="14">
        <f t="shared" si="4"/>
        <v>0.328989928337166</v>
      </c>
      <c r="D118" s="15">
        <f t="shared" si="4"/>
        <v>0.17860619515673049</v>
      </c>
    </row>
    <row r="119" spans="1:4" x14ac:dyDescent="0.25">
      <c r="A119">
        <v>450</v>
      </c>
      <c r="B119" s="13">
        <f t="shared" si="4"/>
        <v>1</v>
      </c>
      <c r="C119" s="14">
        <f t="shared" si="4"/>
        <v>0.24999999999999967</v>
      </c>
      <c r="D119" s="15">
        <f t="shared" si="4"/>
        <v>0.25000000000000006</v>
      </c>
    </row>
    <row r="120" spans="1:4" x14ac:dyDescent="0.25">
      <c r="A120">
        <v>460</v>
      </c>
      <c r="B120" s="13">
        <f t="shared" si="4"/>
        <v>0.99240387650610407</v>
      </c>
      <c r="C120" s="14">
        <f t="shared" si="4"/>
        <v>0.17860619515673082</v>
      </c>
      <c r="D120" s="15">
        <f t="shared" si="4"/>
        <v>0.32898992833716478</v>
      </c>
    </row>
    <row r="121" spans="1:4" x14ac:dyDescent="0.25">
      <c r="A121">
        <v>470</v>
      </c>
      <c r="B121" s="13">
        <f t="shared" si="4"/>
        <v>0.96984631039295432</v>
      </c>
      <c r="C121" s="14">
        <f t="shared" si="4"/>
        <v>0.11697777844051088</v>
      </c>
      <c r="D121" s="15">
        <f t="shared" si="4"/>
        <v>0.41317591116653468</v>
      </c>
    </row>
    <row r="122" spans="1:4" x14ac:dyDescent="0.25">
      <c r="A122">
        <v>480</v>
      </c>
      <c r="B122" s="13">
        <f t="shared" si="4"/>
        <v>0.93301270189221963</v>
      </c>
      <c r="C122" s="14">
        <f t="shared" si="4"/>
        <v>6.6987298107780646E-2</v>
      </c>
      <c r="D122" s="15">
        <f t="shared" si="4"/>
        <v>0.49999999999999978</v>
      </c>
    </row>
    <row r="123" spans="1:4" x14ac:dyDescent="0.25">
      <c r="A123">
        <v>490</v>
      </c>
      <c r="B123" s="13">
        <f t="shared" si="4"/>
        <v>0.8830222215594894</v>
      </c>
      <c r="C123" s="14">
        <f t="shared" si="4"/>
        <v>3.0153689607045786E-2</v>
      </c>
      <c r="D123" s="15">
        <f t="shared" si="4"/>
        <v>0.58682408883346571</v>
      </c>
    </row>
    <row r="124" spans="1:4" x14ac:dyDescent="0.25">
      <c r="A124">
        <v>500</v>
      </c>
      <c r="B124" s="13">
        <f t="shared" si="4"/>
        <v>0.82139380484327018</v>
      </c>
      <c r="C124" s="14">
        <f t="shared" si="4"/>
        <v>7.5961234938959898E-3</v>
      </c>
      <c r="D124" s="15">
        <f t="shared" si="4"/>
        <v>0.671010071662834</v>
      </c>
    </row>
    <row r="125" spans="1:4" x14ac:dyDescent="0.25">
      <c r="A125">
        <v>510</v>
      </c>
      <c r="B125" s="13">
        <f t="shared" si="4"/>
        <v>0.74999999999999989</v>
      </c>
      <c r="C125" s="14">
        <f t="shared" si="4"/>
        <v>0</v>
      </c>
      <c r="D125" s="15">
        <f t="shared" si="4"/>
        <v>0.74999999999999956</v>
      </c>
    </row>
    <row r="126" spans="1:4" x14ac:dyDescent="0.25">
      <c r="A126">
        <v>520</v>
      </c>
      <c r="B126" s="13">
        <f t="shared" si="4"/>
        <v>0.67101007166283433</v>
      </c>
      <c r="C126" s="14">
        <f t="shared" si="4"/>
        <v>7.5961234938959343E-3</v>
      </c>
      <c r="D126" s="15">
        <f t="shared" si="4"/>
        <v>0.82139380484326985</v>
      </c>
    </row>
    <row r="127" spans="1:4" x14ac:dyDescent="0.25">
      <c r="A127">
        <v>530</v>
      </c>
      <c r="B127" s="13">
        <f t="shared" si="4"/>
        <v>0.58682408883346526</v>
      </c>
      <c r="C127" s="14">
        <f t="shared" si="4"/>
        <v>3.0153689607045675E-2</v>
      </c>
      <c r="D127" s="15">
        <f t="shared" si="4"/>
        <v>0.88302222155948917</v>
      </c>
    </row>
    <row r="128" spans="1:4" x14ac:dyDescent="0.25">
      <c r="A128">
        <v>540</v>
      </c>
      <c r="B128" s="13">
        <f t="shared" si="4"/>
        <v>0.50000000000000022</v>
      </c>
      <c r="C128" s="14">
        <f t="shared" si="4"/>
        <v>6.6987298107780424E-2</v>
      </c>
      <c r="D128" s="15">
        <f t="shared" si="4"/>
        <v>0.93301270189221897</v>
      </c>
    </row>
    <row r="129" spans="1:4" x14ac:dyDescent="0.25">
      <c r="A129">
        <v>550</v>
      </c>
      <c r="B129" s="13">
        <f t="shared" si="4"/>
        <v>0.41317591116653513</v>
      </c>
      <c r="C129" s="14">
        <f t="shared" si="4"/>
        <v>0.1169777784405106</v>
      </c>
      <c r="D129" s="15">
        <f t="shared" si="4"/>
        <v>0.96984631039295421</v>
      </c>
    </row>
    <row r="130" spans="1:4" x14ac:dyDescent="0.25">
      <c r="A130">
        <v>560</v>
      </c>
      <c r="B130" s="13">
        <f t="shared" si="4"/>
        <v>0.328989928337166</v>
      </c>
      <c r="C130" s="14">
        <f t="shared" si="4"/>
        <v>0.17860619515673049</v>
      </c>
      <c r="D130" s="15">
        <f t="shared" si="4"/>
        <v>0.99240387650610407</v>
      </c>
    </row>
    <row r="131" spans="1:4" x14ac:dyDescent="0.25">
      <c r="A131">
        <v>570</v>
      </c>
      <c r="B131" s="13">
        <f t="shared" si="4"/>
        <v>0.24999999999999967</v>
      </c>
      <c r="C131" s="14">
        <f t="shared" si="4"/>
        <v>0.25000000000000006</v>
      </c>
      <c r="D131" s="15">
        <f t="shared" si="4"/>
        <v>1</v>
      </c>
    </row>
    <row r="132" spans="1:4" x14ac:dyDescent="0.25">
      <c r="A132">
        <v>580</v>
      </c>
      <c r="B132" s="13">
        <f t="shared" si="4"/>
        <v>0.17860619515673082</v>
      </c>
      <c r="C132" s="14">
        <f t="shared" si="4"/>
        <v>0.32898992833716478</v>
      </c>
      <c r="D132" s="15">
        <f t="shared" si="4"/>
        <v>0.99240387650610407</v>
      </c>
    </row>
    <row r="133" spans="1:4" x14ac:dyDescent="0.25">
      <c r="A133">
        <v>590</v>
      </c>
      <c r="B133" s="13">
        <f t="shared" si="4"/>
        <v>0.11697777844051088</v>
      </c>
      <c r="C133" s="14">
        <f t="shared" si="4"/>
        <v>0.41317591116653468</v>
      </c>
      <c r="D133" s="15">
        <f t="shared" si="4"/>
        <v>0.96984631039295444</v>
      </c>
    </row>
    <row r="134" spans="1:4" x14ac:dyDescent="0.25">
      <c r="A134">
        <v>600</v>
      </c>
      <c r="B134" s="13">
        <f t="shared" ref="B134:D146" si="5">(SIN(($A134+B$1)*PI()/180)+$F$1)*$F$2</f>
        <v>6.6987298107780646E-2</v>
      </c>
      <c r="C134" s="14">
        <f t="shared" si="5"/>
        <v>0.49999999999999978</v>
      </c>
      <c r="D134" s="15">
        <f t="shared" si="5"/>
        <v>0.93301270189221919</v>
      </c>
    </row>
    <row r="135" spans="1:4" x14ac:dyDescent="0.25">
      <c r="A135">
        <v>610</v>
      </c>
      <c r="B135" s="13">
        <f t="shared" si="5"/>
        <v>3.0153689607045786E-2</v>
      </c>
      <c r="C135" s="14">
        <f t="shared" si="5"/>
        <v>0.58682408883346571</v>
      </c>
      <c r="D135" s="15">
        <f t="shared" si="5"/>
        <v>0.8830222215594894</v>
      </c>
    </row>
    <row r="136" spans="1:4" x14ac:dyDescent="0.25">
      <c r="A136">
        <v>620</v>
      </c>
      <c r="B136" s="13">
        <f t="shared" si="5"/>
        <v>7.5961234938959898E-3</v>
      </c>
      <c r="C136" s="14">
        <f t="shared" si="5"/>
        <v>0.671010071662834</v>
      </c>
      <c r="D136" s="15">
        <f t="shared" si="5"/>
        <v>0.82139380484327029</v>
      </c>
    </row>
    <row r="137" spans="1:4" x14ac:dyDescent="0.25">
      <c r="A137">
        <v>630</v>
      </c>
      <c r="B137" s="13">
        <f t="shared" si="5"/>
        <v>0</v>
      </c>
      <c r="C137" s="14">
        <f t="shared" si="5"/>
        <v>0.74999999999999956</v>
      </c>
      <c r="D137" s="15">
        <f t="shared" si="5"/>
        <v>0.75</v>
      </c>
    </row>
    <row r="138" spans="1:4" x14ac:dyDescent="0.25">
      <c r="A138">
        <v>640</v>
      </c>
      <c r="B138" s="13">
        <f t="shared" si="5"/>
        <v>7.5961234938959343E-3</v>
      </c>
      <c r="C138" s="14">
        <f t="shared" si="5"/>
        <v>0.82139380484326985</v>
      </c>
      <c r="D138" s="15">
        <f t="shared" si="5"/>
        <v>0.67101007166283444</v>
      </c>
    </row>
    <row r="139" spans="1:4" x14ac:dyDescent="0.25">
      <c r="A139">
        <v>650</v>
      </c>
      <c r="B139" s="13">
        <f t="shared" si="5"/>
        <v>3.0153689607045675E-2</v>
      </c>
      <c r="C139" s="14">
        <f t="shared" si="5"/>
        <v>0.88302222155948917</v>
      </c>
      <c r="D139" s="15">
        <f t="shared" si="5"/>
        <v>0.58682408883346626</v>
      </c>
    </row>
    <row r="140" spans="1:4" x14ac:dyDescent="0.25">
      <c r="A140">
        <v>660</v>
      </c>
      <c r="B140" s="13">
        <f t="shared" si="5"/>
        <v>6.6987298107780424E-2</v>
      </c>
      <c r="C140" s="14">
        <f t="shared" si="5"/>
        <v>0.93301270189221897</v>
      </c>
      <c r="D140" s="15">
        <f t="shared" si="5"/>
        <v>0.50000000000000033</v>
      </c>
    </row>
    <row r="141" spans="1:4" x14ac:dyDescent="0.25">
      <c r="A141">
        <v>670</v>
      </c>
      <c r="B141" s="13">
        <f t="shared" si="5"/>
        <v>0.1169777784405106</v>
      </c>
      <c r="C141" s="14">
        <f t="shared" si="5"/>
        <v>0.96984631039295421</v>
      </c>
      <c r="D141" s="15">
        <f t="shared" si="5"/>
        <v>0.41317591116653524</v>
      </c>
    </row>
    <row r="142" spans="1:4" x14ac:dyDescent="0.25">
      <c r="A142">
        <v>680</v>
      </c>
      <c r="B142" s="13">
        <f t="shared" si="5"/>
        <v>0.17860619515673049</v>
      </c>
      <c r="C142" s="14">
        <f t="shared" si="5"/>
        <v>0.99240387650610407</v>
      </c>
      <c r="D142" s="15">
        <f t="shared" si="5"/>
        <v>0.32898992833716612</v>
      </c>
    </row>
    <row r="143" spans="1:4" x14ac:dyDescent="0.25">
      <c r="A143">
        <v>690</v>
      </c>
      <c r="B143" s="13">
        <f t="shared" si="5"/>
        <v>0.25000000000000006</v>
      </c>
      <c r="C143" s="14">
        <f t="shared" si="5"/>
        <v>1</v>
      </c>
      <c r="D143" s="15">
        <f t="shared" si="5"/>
        <v>0.25000000000000056</v>
      </c>
    </row>
    <row r="144" spans="1:4" x14ac:dyDescent="0.25">
      <c r="A144">
        <v>700</v>
      </c>
      <c r="B144" s="13">
        <f t="shared" si="5"/>
        <v>0.32898992833716478</v>
      </c>
      <c r="C144" s="14">
        <f t="shared" si="5"/>
        <v>0.99240387650610407</v>
      </c>
      <c r="D144" s="15">
        <f t="shared" si="5"/>
        <v>0.17860619515673087</v>
      </c>
    </row>
    <row r="145" spans="1:4" x14ac:dyDescent="0.25">
      <c r="A145">
        <v>710</v>
      </c>
      <c r="B145" s="13">
        <f t="shared" si="5"/>
        <v>0.41317591116653468</v>
      </c>
      <c r="C145" s="14">
        <f t="shared" si="5"/>
        <v>0.96984631039295444</v>
      </c>
      <c r="D145" s="15">
        <f t="shared" si="5"/>
        <v>0.11697777844051149</v>
      </c>
    </row>
    <row r="146" spans="1:4" x14ac:dyDescent="0.25">
      <c r="A146">
        <v>720</v>
      </c>
      <c r="B146" s="13">
        <f t="shared" si="5"/>
        <v>0.49999999999999978</v>
      </c>
      <c r="C146" s="14">
        <f t="shared" si="5"/>
        <v>0.93301270189221919</v>
      </c>
      <c r="D146" s="15">
        <f t="shared" si="5"/>
        <v>6.6987298107781146E-2</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Munkalapok</vt:lpstr>
      </vt:variant>
      <vt:variant>
        <vt:i4>2</vt:i4>
      </vt:variant>
    </vt:vector>
  </HeadingPairs>
  <TitlesOfParts>
    <vt:vector size="2" baseType="lpstr">
      <vt:lpstr>Cutover</vt:lpstr>
      <vt:lpstr>Munka1</vt:lpstr>
    </vt:vector>
  </TitlesOfParts>
  <Company>EGIS Gyógyszergyár NyRt.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Bartus, Ferenc HU</dc:creator>
  <cp:lastModifiedBy>Bartus, Ferenc HU</cp:lastModifiedBy>
  <dcterms:created xsi:type="dcterms:W3CDTF">2017-10-18T11:54:46Z</dcterms:created>
  <dcterms:modified xsi:type="dcterms:W3CDTF">2018-08-10T11:22:33Z</dcterms:modified>
</cp:coreProperties>
</file>